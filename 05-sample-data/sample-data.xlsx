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66925"/>
  <xr:revisionPtr revIDLastSave="0" documentId="13_ncr:1_{244CE55D-A9CC-48A1-82CC-BCB8E5A8A817}" xr6:coauthVersionLast="47" xr6:coauthVersionMax="47" xr10:uidLastSave="{00000000-0000-0000-0000-000000000000}"/>
  <bookViews>
    <workbookView xWindow="-108" yWindow="-108" windowWidth="23256" windowHeight="12456" xr2:uid="{5A8ED8EE-8471-409C-AE42-F8B9EC8601E2}"/>
  </bookViews>
  <sheets>
    <sheet name="Sheet1" sheetId="1" r:id="rId1"/>
  </sheets>
  <definedNames>
    <definedName name="_xlnm._FilterDatabase" localSheetId="0" hidden="1">Sheet1!$A$1:$N$100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7" i="1" l="1"/>
  <c r="N71" i="1"/>
  <c r="N55" i="1"/>
  <c r="N39" i="1"/>
  <c r="N23" i="1"/>
  <c r="N7" i="1"/>
  <c r="M100" i="1"/>
  <c r="N100" i="1" s="1"/>
  <c r="L100" i="1"/>
  <c r="M99" i="1"/>
  <c r="N99" i="1" s="1"/>
  <c r="L99" i="1"/>
  <c r="M98" i="1"/>
  <c r="N98" i="1" s="1"/>
  <c r="L98" i="1"/>
  <c r="M97" i="1"/>
  <c r="N97" i="1" s="1"/>
  <c r="L97" i="1"/>
  <c r="M96" i="1"/>
  <c r="N96" i="1" s="1"/>
  <c r="L96" i="1"/>
  <c r="M95" i="1"/>
  <c r="N95" i="1" s="1"/>
  <c r="L95" i="1"/>
  <c r="M94" i="1"/>
  <c r="N94" i="1" s="1"/>
  <c r="L94" i="1"/>
  <c r="M93" i="1"/>
  <c r="N93" i="1" s="1"/>
  <c r="L93" i="1"/>
  <c r="M92" i="1"/>
  <c r="N92" i="1" s="1"/>
  <c r="L92" i="1"/>
  <c r="M91" i="1"/>
  <c r="N91" i="1" s="1"/>
  <c r="L91" i="1"/>
  <c r="M90" i="1"/>
  <c r="N90" i="1" s="1"/>
  <c r="L90" i="1"/>
  <c r="M89" i="1"/>
  <c r="N89" i="1" s="1"/>
  <c r="L89" i="1"/>
  <c r="M88" i="1"/>
  <c r="N88" i="1" s="1"/>
  <c r="L88" i="1"/>
  <c r="M87" i="1"/>
  <c r="L87" i="1"/>
  <c r="M86" i="1"/>
  <c r="N86" i="1" s="1"/>
  <c r="L86" i="1"/>
  <c r="M85" i="1"/>
  <c r="N85" i="1" s="1"/>
  <c r="L85" i="1"/>
  <c r="M84" i="1"/>
  <c r="N84" i="1" s="1"/>
  <c r="L84" i="1"/>
  <c r="M83" i="1"/>
  <c r="N83" i="1" s="1"/>
  <c r="L83" i="1"/>
  <c r="M82" i="1"/>
  <c r="N82" i="1" s="1"/>
  <c r="L82" i="1"/>
  <c r="M81" i="1"/>
  <c r="N81" i="1" s="1"/>
  <c r="L81" i="1"/>
  <c r="M80" i="1"/>
  <c r="N80" i="1" s="1"/>
  <c r="L80" i="1"/>
  <c r="M79" i="1"/>
  <c r="N79" i="1" s="1"/>
  <c r="L79" i="1"/>
  <c r="M78" i="1"/>
  <c r="N78" i="1" s="1"/>
  <c r="L78" i="1"/>
  <c r="M77" i="1"/>
  <c r="N77" i="1" s="1"/>
  <c r="L77" i="1"/>
  <c r="M76" i="1"/>
  <c r="N76" i="1" s="1"/>
  <c r="L76" i="1"/>
  <c r="M75" i="1"/>
  <c r="N75" i="1" s="1"/>
  <c r="L75" i="1"/>
  <c r="M74" i="1"/>
  <c r="N74" i="1" s="1"/>
  <c r="L74" i="1"/>
  <c r="M73" i="1"/>
  <c r="N73" i="1" s="1"/>
  <c r="L73" i="1"/>
  <c r="M72" i="1"/>
  <c r="N72" i="1" s="1"/>
  <c r="L72" i="1"/>
  <c r="M71" i="1"/>
  <c r="L71" i="1"/>
  <c r="M70" i="1"/>
  <c r="N70" i="1" s="1"/>
  <c r="L70" i="1"/>
  <c r="M69" i="1"/>
  <c r="N69" i="1" s="1"/>
  <c r="L69" i="1"/>
  <c r="M68" i="1"/>
  <c r="N68" i="1" s="1"/>
  <c r="L68" i="1"/>
  <c r="M67" i="1"/>
  <c r="N67" i="1" s="1"/>
  <c r="L67" i="1"/>
  <c r="M66" i="1"/>
  <c r="N66" i="1" s="1"/>
  <c r="L66" i="1"/>
  <c r="M65" i="1"/>
  <c r="N65" i="1" s="1"/>
  <c r="L65" i="1"/>
  <c r="M64" i="1"/>
  <c r="N64" i="1" s="1"/>
  <c r="L64" i="1"/>
  <c r="M63" i="1"/>
  <c r="N63" i="1" s="1"/>
  <c r="L63" i="1"/>
  <c r="M62" i="1"/>
  <c r="N62" i="1" s="1"/>
  <c r="L62" i="1"/>
  <c r="M61" i="1"/>
  <c r="N61" i="1" s="1"/>
  <c r="L61" i="1"/>
  <c r="M60" i="1"/>
  <c r="N60" i="1" s="1"/>
  <c r="L60" i="1"/>
  <c r="M59" i="1"/>
  <c r="N59" i="1" s="1"/>
  <c r="L59" i="1"/>
  <c r="M58" i="1"/>
  <c r="N58" i="1" s="1"/>
  <c r="L58" i="1"/>
  <c r="M57" i="1"/>
  <c r="N57" i="1" s="1"/>
  <c r="L57" i="1"/>
  <c r="M56" i="1"/>
  <c r="N56" i="1" s="1"/>
  <c r="L56" i="1"/>
  <c r="M55" i="1"/>
  <c r="L55" i="1"/>
  <c r="M54" i="1"/>
  <c r="N54" i="1" s="1"/>
  <c r="L54" i="1"/>
  <c r="M53" i="1"/>
  <c r="N53" i="1" s="1"/>
  <c r="L53" i="1"/>
  <c r="M52" i="1"/>
  <c r="N52" i="1" s="1"/>
  <c r="L52" i="1"/>
  <c r="M51" i="1"/>
  <c r="N51" i="1" s="1"/>
  <c r="L51" i="1"/>
  <c r="M50" i="1"/>
  <c r="N50" i="1" s="1"/>
  <c r="L50" i="1"/>
  <c r="M49" i="1"/>
  <c r="N49" i="1" s="1"/>
  <c r="L49" i="1"/>
  <c r="M48" i="1"/>
  <c r="N48" i="1" s="1"/>
  <c r="L48" i="1"/>
  <c r="M47" i="1"/>
  <c r="N47" i="1" s="1"/>
  <c r="L47" i="1"/>
  <c r="M46" i="1"/>
  <c r="N46" i="1" s="1"/>
  <c r="L46" i="1"/>
  <c r="M45" i="1"/>
  <c r="N45" i="1" s="1"/>
  <c r="L45" i="1"/>
  <c r="M44" i="1"/>
  <c r="N44" i="1" s="1"/>
  <c r="L44" i="1"/>
  <c r="M43" i="1"/>
  <c r="N43" i="1" s="1"/>
  <c r="L43" i="1"/>
  <c r="M42" i="1"/>
  <c r="N42" i="1" s="1"/>
  <c r="L42" i="1"/>
  <c r="M41" i="1"/>
  <c r="N41" i="1" s="1"/>
  <c r="L41" i="1"/>
  <c r="M40" i="1"/>
  <c r="N40" i="1" s="1"/>
  <c r="L40" i="1"/>
  <c r="M39" i="1"/>
  <c r="L39" i="1"/>
  <c r="M38" i="1"/>
  <c r="N38" i="1" s="1"/>
  <c r="L38" i="1"/>
  <c r="M37" i="1"/>
  <c r="N37" i="1" s="1"/>
  <c r="L37" i="1"/>
  <c r="M36" i="1"/>
  <c r="N36" i="1" s="1"/>
  <c r="L36" i="1"/>
  <c r="M35" i="1"/>
  <c r="N35" i="1" s="1"/>
  <c r="L35" i="1"/>
  <c r="M34" i="1"/>
  <c r="N34" i="1" s="1"/>
  <c r="L34" i="1"/>
  <c r="M33" i="1"/>
  <c r="N33" i="1" s="1"/>
  <c r="L33" i="1"/>
  <c r="M32" i="1"/>
  <c r="N32" i="1" s="1"/>
  <c r="L32" i="1"/>
  <c r="M31" i="1"/>
  <c r="N31" i="1" s="1"/>
  <c r="L31" i="1"/>
  <c r="M30" i="1"/>
  <c r="N30" i="1" s="1"/>
  <c r="L30" i="1"/>
  <c r="M29" i="1"/>
  <c r="N29" i="1" s="1"/>
  <c r="L29" i="1"/>
  <c r="M28" i="1"/>
  <c r="N28" i="1" s="1"/>
  <c r="L28" i="1"/>
  <c r="M27" i="1"/>
  <c r="N27" i="1" s="1"/>
  <c r="L27" i="1"/>
  <c r="M26" i="1"/>
  <c r="N26" i="1" s="1"/>
  <c r="L26" i="1"/>
  <c r="M25" i="1"/>
  <c r="N25" i="1" s="1"/>
  <c r="L25" i="1"/>
  <c r="M24" i="1"/>
  <c r="N24" i="1" s="1"/>
  <c r="L24" i="1"/>
  <c r="M23" i="1"/>
  <c r="L23" i="1"/>
  <c r="M22" i="1"/>
  <c r="N22" i="1" s="1"/>
  <c r="L22" i="1"/>
  <c r="M21" i="1"/>
  <c r="N21" i="1" s="1"/>
  <c r="L21" i="1"/>
  <c r="M20" i="1"/>
  <c r="N20" i="1" s="1"/>
  <c r="L20" i="1"/>
  <c r="M19" i="1"/>
  <c r="N19" i="1" s="1"/>
  <c r="L19" i="1"/>
  <c r="M18" i="1"/>
  <c r="N18" i="1" s="1"/>
  <c r="L18" i="1"/>
  <c r="M17" i="1"/>
  <c r="N17" i="1" s="1"/>
  <c r="L17" i="1"/>
  <c r="M16" i="1"/>
  <c r="N16" i="1" s="1"/>
  <c r="L16" i="1"/>
  <c r="M15" i="1"/>
  <c r="N15" i="1" s="1"/>
  <c r="L15" i="1"/>
  <c r="M14" i="1"/>
  <c r="N14" i="1" s="1"/>
  <c r="L14" i="1"/>
  <c r="M13" i="1"/>
  <c r="N13" i="1" s="1"/>
  <c r="L13" i="1"/>
  <c r="M12" i="1"/>
  <c r="N12" i="1" s="1"/>
  <c r="L12" i="1"/>
  <c r="M11" i="1"/>
  <c r="N11" i="1" s="1"/>
  <c r="L11" i="1"/>
  <c r="M10" i="1"/>
  <c r="N10" i="1" s="1"/>
  <c r="L10" i="1"/>
  <c r="M9" i="1"/>
  <c r="N9" i="1" s="1"/>
  <c r="L9" i="1"/>
  <c r="M8" i="1"/>
  <c r="N8" i="1" s="1"/>
  <c r="L8" i="1"/>
  <c r="M7" i="1"/>
  <c r="L7" i="1"/>
  <c r="M6" i="1"/>
  <c r="N6" i="1" s="1"/>
  <c r="L6" i="1"/>
  <c r="M5" i="1"/>
  <c r="N5" i="1" s="1"/>
  <c r="L5" i="1"/>
  <c r="M4" i="1"/>
  <c r="N4" i="1" s="1"/>
  <c r="L4" i="1"/>
  <c r="M3" i="1"/>
  <c r="N3" i="1" s="1"/>
  <c r="L3" i="1"/>
  <c r="M2" i="1"/>
  <c r="N2" i="1" s="1"/>
  <c r="L2" i="1"/>
</calcChain>
</file>

<file path=xl/sharedStrings.xml><?xml version="1.0" encoding="utf-8"?>
<sst xmlns="http://schemas.openxmlformats.org/spreadsheetml/2006/main" count="707" uniqueCount="95">
  <si>
    <t>Segment</t>
  </si>
  <si>
    <t>Country</t>
  </si>
  <si>
    <t>City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</si>
  <si>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</si>
  <si>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</si>
  <si>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</si>
  <si>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</si>
  <si>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</si>
  <si>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</si>
  <si>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</si>
  <si>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</si>
  <si>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</si>
  <si>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</si>
  <si>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</si>
  <si>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</si>
  <si>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</si>
  <si>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</si>
  <si>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</si>
  <si>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</si>
  <si>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</si>
  <si>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</si>
  <si>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</si>
  <si>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</si>
  <si>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</si>
  <si>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</si>
  <si>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</si>
  <si>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</si>
  <si>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</si>
  <si>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</si>
  <si>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</si>
  <si>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</si>
  <si>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</si>
  <si>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</si>
  <si>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</si>
  <si>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</si>
  <si>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</si>
  <si>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</si>
  <si>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</si>
  <si>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</si>
  <si>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</si>
  <si>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</si>
  <si>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</si>
  <si>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</si>
  <si>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</si>
  <si>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</si>
  <si>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</si>
  <si>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</si>
  <si>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</si>
  <si>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</si>
  <si>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</si>
  <si>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</si>
  <si>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</si>
  <si>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</si>
  <si>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</si>
  <si>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</si>
  <si>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</si>
  <si>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</si>
  <si>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</si>
  <si>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</si>
  <si>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</si>
  <si>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</si>
  <si>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</si>
  <si>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</si>
  <si>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</si>
  <si>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</si>
  <si>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</si>
  <si>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</si>
  <si>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</si>
  <si>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</si>
  <si>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</si>
  <si>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</si>
  <si>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</si>
  <si>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</si>
  <si>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</si>
  <si>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</si>
  <si>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</si>
  <si>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</si>
  <si>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</si>
  <si>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</si>
  <si>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</si>
  <si>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</si>
  <si>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</si>
  <si>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</si>
  <si>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</si>
  <si>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</si>
  <si>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</si>
  <si>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</si>
  <si>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</si>
  <si>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</si>
  <si>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</si>
  <si>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</si>
  <si>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</si>
  <si>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Cost</t>
  </si>
  <si>
    <t>Discount in Price</t>
  </si>
  <si>
    <t>List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</si>
</sst>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2" fillId="2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2" fontId="0" fillId="0" borderId="0" xfId="0" applyNumberForma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267E-5DE7-4867-9F95-81EA8C3B8E5D}">
  <dimension ref="A1:N100"/>
  <sheetViews>
    <sheetView tabSelected="1" topLeftCell="B1" workbookViewId="0">
      <selection activeCell="G15" sqref="G15"/>
    </sheetView>
  </sheetViews>
  <sheetFormatPr defaultColWidth="16.21875" defaultRowHeight="14.4" x14ac:dyDescent="0.3"/>
  <cols>
    <col min="1" max="1" width="14.6640625" bestFit="1" customWidth="1"/>
    <col min="2" max="2" width="14.21875" bestFit="1" customWidth="1"/>
    <col min="3" max="3" width="16.6640625" bestFit="1" customWidth="1"/>
    <col min="4" max="4" width="15.33203125" bestFit="1" customWidth="1"/>
    <col min="5" max="5" width="12.77734375" bestFit="1" customWidth="1"/>
    <col min="6" max="6" width="15.88671875" bestFit="1" customWidth="1"/>
    <col min="7" max="7" width="20" bestFit="1" customWidth="1"/>
    <col min="8" max="8" width="12.5546875" style="17" bestFit="1" customWidth="1"/>
    <col min="9" max="9" width="14.44140625" bestFit="1" customWidth="1"/>
    <col min="10" max="10" width="14.77734375" style="16" bestFit="1" customWidth="1"/>
    <col min="11" max="11" width="13.21875" bestFit="1" customWidth="1"/>
    <col min="12" max="12" width="12.33203125" bestFit="1" customWidth="1"/>
    <col min="13" max="13" width="16.77734375" bestFit="1" customWidth="1"/>
    <col min="14" max="14" width="25" bestFit="1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13" t="s">
        <v>9</v>
      </c>
      <c r="K1" s="4" t="s">
        <v>10</v>
      </c>
      <c r="L1" s="4" t="s">
        <v>92</v>
      </c>
      <c r="M1" s="4" t="s">
        <v>94</v>
      </c>
      <c r="N1" s="4" t="s">
        <v>93</v>
      </c>
    </row>
    <row r="2" spans="1:14" ht="15.6" x14ac:dyDescent="0.3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7">
        <v>261.95999999999998</v>
      </c>
      <c r="I2" s="6">
        <v>2</v>
      </c>
      <c r="J2" s="14">
        <v>0</v>
      </c>
      <c r="K2" s="8">
        <v>41.913600000000002</v>
      </c>
      <c r="L2" s="8">
        <f t="shared" ref="L2:L33" si="0">H2-K2</f>
        <v>220.04639999999998</v>
      </c>
      <c r="M2" s="8">
        <f t="shared" ref="M2:M33" si="1">H2/(1-J2)</f>
        <v>261.95999999999998</v>
      </c>
      <c r="N2" s="8">
        <f t="shared" ref="N2:N33" si="2">M2-H2</f>
        <v>0</v>
      </c>
    </row>
    <row r="3" spans="1:14" ht="15.6" x14ac:dyDescent="0.3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18</v>
      </c>
      <c r="H3" s="11">
        <v>731.94</v>
      </c>
      <c r="I3" s="10">
        <v>3</v>
      </c>
      <c r="J3" s="15">
        <v>0</v>
      </c>
      <c r="K3" s="12">
        <v>219.58199999999999</v>
      </c>
      <c r="L3" s="12">
        <f t="shared" si="0"/>
        <v>512.35800000000006</v>
      </c>
      <c r="M3" s="12">
        <f t="shared" si="1"/>
        <v>731.94</v>
      </c>
      <c r="N3" s="12">
        <f t="shared" si="2"/>
        <v>0</v>
      </c>
    </row>
    <row r="4" spans="1:14" ht="15.6" x14ac:dyDescent="0.3">
      <c r="A4" s="5" t="s">
        <v>19</v>
      </c>
      <c r="B4" s="5" t="s">
        <v>12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7">
        <v>14.62</v>
      </c>
      <c r="I4" s="6">
        <v>2</v>
      </c>
      <c r="J4" s="14">
        <v>0</v>
      </c>
      <c r="K4" s="8">
        <v>6.8714000000000004</v>
      </c>
      <c r="L4" s="8">
        <f t="shared" si="0"/>
        <v>7.7485999999999988</v>
      </c>
      <c r="M4" s="8">
        <f t="shared" si="1"/>
        <v>14.62</v>
      </c>
      <c r="N4" s="8">
        <f t="shared" si="2"/>
        <v>0</v>
      </c>
    </row>
    <row r="5" spans="1:14" ht="15.6" x14ac:dyDescent="0.3">
      <c r="A5" s="9" t="s">
        <v>11</v>
      </c>
      <c r="B5" s="9" t="s">
        <v>12</v>
      </c>
      <c r="C5" s="9" t="s">
        <v>25</v>
      </c>
      <c r="D5" s="9" t="s">
        <v>26</v>
      </c>
      <c r="E5" s="9" t="s">
        <v>15</v>
      </c>
      <c r="F5" s="9" t="s">
        <v>16</v>
      </c>
      <c r="G5" s="9" t="s">
        <v>27</v>
      </c>
      <c r="H5" s="11">
        <v>957.57749999999999</v>
      </c>
      <c r="I5" s="10">
        <v>5</v>
      </c>
      <c r="J5" s="15">
        <v>0.45</v>
      </c>
      <c r="K5" s="12">
        <v>-383.03100000000001</v>
      </c>
      <c r="L5" s="12">
        <f t="shared" si="0"/>
        <v>1340.6085</v>
      </c>
      <c r="M5" s="12">
        <f t="shared" si="1"/>
        <v>1741.0499999999997</v>
      </c>
      <c r="N5" s="12">
        <f t="shared" si="2"/>
        <v>783.47249999999974</v>
      </c>
    </row>
    <row r="6" spans="1:14" ht="15.6" x14ac:dyDescent="0.3">
      <c r="A6" s="5" t="s">
        <v>11</v>
      </c>
      <c r="B6" s="5" t="s">
        <v>12</v>
      </c>
      <c r="C6" s="5" t="s">
        <v>25</v>
      </c>
      <c r="D6" s="5" t="s">
        <v>26</v>
      </c>
      <c r="E6" s="5" t="s">
        <v>15</v>
      </c>
      <c r="F6" s="5" t="s">
        <v>23</v>
      </c>
      <c r="G6" s="5" t="s">
        <v>28</v>
      </c>
      <c r="H6" s="7">
        <v>22.367999999999999</v>
      </c>
      <c r="I6" s="6">
        <v>2</v>
      </c>
      <c r="J6" s="14">
        <v>0.2</v>
      </c>
      <c r="K6" s="8">
        <v>2.5164</v>
      </c>
      <c r="L6" s="8">
        <f t="shared" si="0"/>
        <v>19.851599999999998</v>
      </c>
      <c r="M6" s="8">
        <f t="shared" si="1"/>
        <v>27.959999999999997</v>
      </c>
      <c r="N6" s="8">
        <f t="shared" si="2"/>
        <v>5.5919999999999987</v>
      </c>
    </row>
    <row r="7" spans="1:14" ht="15.6" x14ac:dyDescent="0.3">
      <c r="A7" s="9" t="s">
        <v>11</v>
      </c>
      <c r="B7" s="9" t="s">
        <v>12</v>
      </c>
      <c r="C7" s="9" t="s">
        <v>20</v>
      </c>
      <c r="D7" s="9" t="s">
        <v>21</v>
      </c>
      <c r="E7" s="9" t="s">
        <v>22</v>
      </c>
      <c r="F7" s="9" t="s">
        <v>16</v>
      </c>
      <c r="G7" s="9" t="s">
        <v>29</v>
      </c>
      <c r="H7" s="11">
        <v>48.86</v>
      </c>
      <c r="I7" s="10">
        <v>7</v>
      </c>
      <c r="J7" s="15">
        <v>0</v>
      </c>
      <c r="K7" s="12">
        <v>14.1694</v>
      </c>
      <c r="L7" s="12">
        <f t="shared" si="0"/>
        <v>34.690600000000003</v>
      </c>
      <c r="M7" s="12">
        <f t="shared" si="1"/>
        <v>48.86</v>
      </c>
      <c r="N7" s="12">
        <f t="shared" si="2"/>
        <v>0</v>
      </c>
    </row>
    <row r="8" spans="1:14" ht="15.6" x14ac:dyDescent="0.3">
      <c r="A8" s="5" t="s">
        <v>11</v>
      </c>
      <c r="B8" s="5" t="s">
        <v>12</v>
      </c>
      <c r="C8" s="5" t="s">
        <v>20</v>
      </c>
      <c r="D8" s="5" t="s">
        <v>21</v>
      </c>
      <c r="E8" s="5" t="s">
        <v>22</v>
      </c>
      <c r="F8" s="5" t="s">
        <v>23</v>
      </c>
      <c r="G8" s="5" t="s">
        <v>30</v>
      </c>
      <c r="H8" s="7">
        <v>7.28</v>
      </c>
      <c r="I8" s="6">
        <v>4</v>
      </c>
      <c r="J8" s="14">
        <v>0</v>
      </c>
      <c r="K8" s="8">
        <v>1.9656</v>
      </c>
      <c r="L8" s="8">
        <f t="shared" si="0"/>
        <v>5.3144</v>
      </c>
      <c r="M8" s="8">
        <f t="shared" si="1"/>
        <v>7.28</v>
      </c>
      <c r="N8" s="8">
        <f t="shared" si="2"/>
        <v>0</v>
      </c>
    </row>
    <row r="9" spans="1:14" ht="15.6" x14ac:dyDescent="0.3">
      <c r="A9" s="9" t="s">
        <v>11</v>
      </c>
      <c r="B9" s="9" t="s">
        <v>12</v>
      </c>
      <c r="C9" s="9" t="s">
        <v>20</v>
      </c>
      <c r="D9" s="9" t="s">
        <v>21</v>
      </c>
      <c r="E9" s="9" t="s">
        <v>22</v>
      </c>
      <c r="F9" s="9" t="s">
        <v>31</v>
      </c>
      <c r="G9" s="9" t="s">
        <v>32</v>
      </c>
      <c r="H9" s="11">
        <v>907.15200000000004</v>
      </c>
      <c r="I9" s="10">
        <v>6</v>
      </c>
      <c r="J9" s="15">
        <v>0.2</v>
      </c>
      <c r="K9" s="12">
        <v>90.715199999999996</v>
      </c>
      <c r="L9" s="12">
        <f t="shared" si="0"/>
        <v>816.43680000000006</v>
      </c>
      <c r="M9" s="12">
        <f t="shared" si="1"/>
        <v>1133.94</v>
      </c>
      <c r="N9" s="12">
        <f t="shared" si="2"/>
        <v>226.78800000000001</v>
      </c>
    </row>
    <row r="10" spans="1:14" ht="15.6" x14ac:dyDescent="0.3">
      <c r="A10" s="5" t="s">
        <v>11</v>
      </c>
      <c r="B10" s="5" t="s">
        <v>12</v>
      </c>
      <c r="C10" s="5" t="s">
        <v>20</v>
      </c>
      <c r="D10" s="5" t="s">
        <v>21</v>
      </c>
      <c r="E10" s="5" t="s">
        <v>22</v>
      </c>
      <c r="F10" s="5" t="s">
        <v>23</v>
      </c>
      <c r="G10" s="5" t="s">
        <v>33</v>
      </c>
      <c r="H10" s="7">
        <v>18.504000000000001</v>
      </c>
      <c r="I10" s="6">
        <v>3</v>
      </c>
      <c r="J10" s="14">
        <v>0.2</v>
      </c>
      <c r="K10" s="8">
        <v>5.7824999999999998</v>
      </c>
      <c r="L10" s="8">
        <f t="shared" si="0"/>
        <v>12.721500000000002</v>
      </c>
      <c r="M10" s="8">
        <f t="shared" si="1"/>
        <v>23.13</v>
      </c>
      <c r="N10" s="8">
        <f t="shared" si="2"/>
        <v>4.6259999999999977</v>
      </c>
    </row>
    <row r="11" spans="1:14" ht="15.6" x14ac:dyDescent="0.3">
      <c r="A11" s="9" t="s">
        <v>11</v>
      </c>
      <c r="B11" s="9" t="s">
        <v>12</v>
      </c>
      <c r="C11" s="9" t="s">
        <v>20</v>
      </c>
      <c r="D11" s="9" t="s">
        <v>21</v>
      </c>
      <c r="E11" s="9" t="s">
        <v>22</v>
      </c>
      <c r="F11" s="9" t="s">
        <v>23</v>
      </c>
      <c r="G11" s="9" t="s">
        <v>34</v>
      </c>
      <c r="H11" s="11">
        <v>114.9</v>
      </c>
      <c r="I11" s="10">
        <v>5</v>
      </c>
      <c r="J11" s="15">
        <v>0</v>
      </c>
      <c r="K11" s="12">
        <v>34.47</v>
      </c>
      <c r="L11" s="12">
        <f t="shared" si="0"/>
        <v>80.430000000000007</v>
      </c>
      <c r="M11" s="12">
        <f t="shared" si="1"/>
        <v>114.9</v>
      </c>
      <c r="N11" s="12">
        <f t="shared" si="2"/>
        <v>0</v>
      </c>
    </row>
    <row r="12" spans="1:14" ht="15.6" x14ac:dyDescent="0.3">
      <c r="A12" s="5" t="s">
        <v>11</v>
      </c>
      <c r="B12" s="5" t="s">
        <v>12</v>
      </c>
      <c r="C12" s="5" t="s">
        <v>20</v>
      </c>
      <c r="D12" s="5" t="s">
        <v>21</v>
      </c>
      <c r="E12" s="5" t="s">
        <v>22</v>
      </c>
      <c r="F12" s="5" t="s">
        <v>16</v>
      </c>
      <c r="G12" s="5" t="s">
        <v>27</v>
      </c>
      <c r="H12" s="7">
        <v>1706.184</v>
      </c>
      <c r="I12" s="6">
        <v>9</v>
      </c>
      <c r="J12" s="14">
        <v>0.2</v>
      </c>
      <c r="K12" s="8">
        <v>85.309200000000004</v>
      </c>
      <c r="L12" s="8">
        <f t="shared" si="0"/>
        <v>1620.8748000000001</v>
      </c>
      <c r="M12" s="8">
        <f t="shared" si="1"/>
        <v>2132.73</v>
      </c>
      <c r="N12" s="8">
        <f t="shared" si="2"/>
        <v>426.54600000000005</v>
      </c>
    </row>
    <row r="13" spans="1:14" ht="15.6" x14ac:dyDescent="0.3">
      <c r="A13" s="9" t="s">
        <v>11</v>
      </c>
      <c r="B13" s="9" t="s">
        <v>12</v>
      </c>
      <c r="C13" s="9" t="s">
        <v>20</v>
      </c>
      <c r="D13" s="9" t="s">
        <v>21</v>
      </c>
      <c r="E13" s="9" t="s">
        <v>22</v>
      </c>
      <c r="F13" s="9" t="s">
        <v>31</v>
      </c>
      <c r="G13" s="9" t="s">
        <v>32</v>
      </c>
      <c r="H13" s="11">
        <v>911.42399999999998</v>
      </c>
      <c r="I13" s="10">
        <v>4</v>
      </c>
      <c r="J13" s="15">
        <v>0.2</v>
      </c>
      <c r="K13" s="12">
        <v>68.356800000000007</v>
      </c>
      <c r="L13" s="12">
        <f t="shared" si="0"/>
        <v>843.06719999999996</v>
      </c>
      <c r="M13" s="12">
        <f t="shared" si="1"/>
        <v>1139.28</v>
      </c>
      <c r="N13" s="12">
        <f t="shared" si="2"/>
        <v>227.85599999999999</v>
      </c>
    </row>
    <row r="14" spans="1:14" ht="15.6" x14ac:dyDescent="0.3">
      <c r="A14" s="5" t="s">
        <v>11</v>
      </c>
      <c r="B14" s="5" t="s">
        <v>12</v>
      </c>
      <c r="C14" s="5" t="s">
        <v>35</v>
      </c>
      <c r="D14" s="5" t="s">
        <v>36</v>
      </c>
      <c r="E14" s="5" t="s">
        <v>15</v>
      </c>
      <c r="F14" s="5" t="s">
        <v>23</v>
      </c>
      <c r="G14" s="5" t="s">
        <v>37</v>
      </c>
      <c r="H14" s="7">
        <v>15.552</v>
      </c>
      <c r="I14" s="6">
        <v>3</v>
      </c>
      <c r="J14" s="14">
        <v>0.2</v>
      </c>
      <c r="K14" s="8">
        <v>5.4432</v>
      </c>
      <c r="L14" s="8">
        <f t="shared" si="0"/>
        <v>10.108799999999999</v>
      </c>
      <c r="M14" s="8">
        <f t="shared" si="1"/>
        <v>19.439999999999998</v>
      </c>
      <c r="N14" s="8">
        <f t="shared" si="2"/>
        <v>3.8879999999999981</v>
      </c>
    </row>
    <row r="15" spans="1:14" ht="15.6" x14ac:dyDescent="0.3">
      <c r="A15" s="9" t="s">
        <v>11</v>
      </c>
      <c r="B15" s="9" t="s">
        <v>12</v>
      </c>
      <c r="C15" s="9" t="s">
        <v>38</v>
      </c>
      <c r="D15" s="9" t="s">
        <v>39</v>
      </c>
      <c r="E15" s="9" t="s">
        <v>22</v>
      </c>
      <c r="F15" s="9" t="s">
        <v>23</v>
      </c>
      <c r="G15" s="9" t="s">
        <v>33</v>
      </c>
      <c r="H15" s="11">
        <v>407.976</v>
      </c>
      <c r="I15" s="10">
        <v>3</v>
      </c>
      <c r="J15" s="15">
        <v>0.2</v>
      </c>
      <c r="K15" s="12">
        <v>132.59219999999999</v>
      </c>
      <c r="L15" s="12">
        <f t="shared" si="0"/>
        <v>275.38380000000001</v>
      </c>
      <c r="M15" s="12">
        <f t="shared" si="1"/>
        <v>509.96999999999997</v>
      </c>
      <c r="N15" s="12">
        <f t="shared" si="2"/>
        <v>101.99399999999997</v>
      </c>
    </row>
    <row r="16" spans="1:14" ht="15.6" x14ac:dyDescent="0.3">
      <c r="A16" s="5" t="s">
        <v>40</v>
      </c>
      <c r="B16" s="5" t="s">
        <v>12</v>
      </c>
      <c r="C16" s="5" t="s">
        <v>41</v>
      </c>
      <c r="D16" s="5" t="s">
        <v>42</v>
      </c>
      <c r="E16" s="5" t="s">
        <v>43</v>
      </c>
      <c r="F16" s="5" t="s">
        <v>23</v>
      </c>
      <c r="G16" s="5" t="s">
        <v>34</v>
      </c>
      <c r="H16" s="7">
        <v>68.81</v>
      </c>
      <c r="I16" s="6">
        <v>5</v>
      </c>
      <c r="J16" s="14">
        <v>0.8</v>
      </c>
      <c r="K16" s="8">
        <v>-123.858</v>
      </c>
      <c r="L16" s="8">
        <f t="shared" si="0"/>
        <v>192.66800000000001</v>
      </c>
      <c r="M16" s="8">
        <f t="shared" si="1"/>
        <v>344.05000000000007</v>
      </c>
      <c r="N16" s="8">
        <f t="shared" si="2"/>
        <v>275.24000000000007</v>
      </c>
    </row>
    <row r="17" spans="1:14" ht="15.6" x14ac:dyDescent="0.3">
      <c r="A17" s="9" t="s">
        <v>40</v>
      </c>
      <c r="B17" s="9" t="s">
        <v>12</v>
      </c>
      <c r="C17" s="9" t="s">
        <v>41</v>
      </c>
      <c r="D17" s="9" t="s">
        <v>42</v>
      </c>
      <c r="E17" s="9" t="s">
        <v>43</v>
      </c>
      <c r="F17" s="9" t="s">
        <v>23</v>
      </c>
      <c r="G17" s="9" t="s">
        <v>33</v>
      </c>
      <c r="H17" s="11">
        <v>2.544</v>
      </c>
      <c r="I17" s="10">
        <v>3</v>
      </c>
      <c r="J17" s="15">
        <v>0.8</v>
      </c>
      <c r="K17" s="12">
        <v>-3.8159999999999998</v>
      </c>
      <c r="L17" s="12">
        <f t="shared" si="0"/>
        <v>6.3599999999999994</v>
      </c>
      <c r="M17" s="12">
        <f t="shared" si="1"/>
        <v>12.720000000000002</v>
      </c>
      <c r="N17" s="12">
        <f t="shared" si="2"/>
        <v>10.176000000000002</v>
      </c>
    </row>
    <row r="18" spans="1:14" ht="15.6" x14ac:dyDescent="0.3">
      <c r="A18" s="5" t="s">
        <v>11</v>
      </c>
      <c r="B18" s="5" t="s">
        <v>12</v>
      </c>
      <c r="C18" s="5" t="s">
        <v>44</v>
      </c>
      <c r="D18" s="5" t="s">
        <v>45</v>
      </c>
      <c r="E18" s="5" t="s">
        <v>43</v>
      </c>
      <c r="F18" s="5" t="s">
        <v>23</v>
      </c>
      <c r="G18" s="5" t="s">
        <v>28</v>
      </c>
      <c r="H18" s="7">
        <v>665.88</v>
      </c>
      <c r="I18" s="6">
        <v>6</v>
      </c>
      <c r="J18" s="14">
        <v>0</v>
      </c>
      <c r="K18" s="8">
        <v>13.317600000000001</v>
      </c>
      <c r="L18" s="8">
        <f t="shared" si="0"/>
        <v>652.56240000000003</v>
      </c>
      <c r="M18" s="8">
        <f t="shared" si="1"/>
        <v>665.88</v>
      </c>
      <c r="N18" s="8">
        <f t="shared" si="2"/>
        <v>0</v>
      </c>
    </row>
    <row r="19" spans="1:14" ht="15.6" x14ac:dyDescent="0.3">
      <c r="A19" s="9" t="s">
        <v>11</v>
      </c>
      <c r="B19" s="9" t="s">
        <v>12</v>
      </c>
      <c r="C19" s="9" t="s">
        <v>46</v>
      </c>
      <c r="D19" s="9" t="s">
        <v>47</v>
      </c>
      <c r="E19" s="9" t="s">
        <v>22</v>
      </c>
      <c r="F19" s="9" t="s">
        <v>23</v>
      </c>
      <c r="G19" s="9" t="s">
        <v>28</v>
      </c>
      <c r="H19" s="11">
        <v>55.5</v>
      </c>
      <c r="I19" s="10">
        <v>2</v>
      </c>
      <c r="J19" s="15">
        <v>0</v>
      </c>
      <c r="K19" s="12">
        <v>9.99</v>
      </c>
      <c r="L19" s="12">
        <f t="shared" si="0"/>
        <v>45.51</v>
      </c>
      <c r="M19" s="12">
        <f t="shared" si="1"/>
        <v>55.5</v>
      </c>
      <c r="N19" s="12">
        <f t="shared" si="2"/>
        <v>0</v>
      </c>
    </row>
    <row r="20" spans="1:14" ht="15.6" x14ac:dyDescent="0.3">
      <c r="A20" s="5" t="s">
        <v>11</v>
      </c>
      <c r="B20" s="5" t="s">
        <v>12</v>
      </c>
      <c r="C20" s="5" t="s">
        <v>48</v>
      </c>
      <c r="D20" s="5" t="s">
        <v>21</v>
      </c>
      <c r="E20" s="5" t="s">
        <v>22</v>
      </c>
      <c r="F20" s="5" t="s">
        <v>23</v>
      </c>
      <c r="G20" s="5" t="s">
        <v>30</v>
      </c>
      <c r="H20" s="7">
        <v>8.56</v>
      </c>
      <c r="I20" s="6">
        <v>2</v>
      </c>
      <c r="J20" s="14">
        <v>0</v>
      </c>
      <c r="K20" s="8">
        <v>2.4824000000000002</v>
      </c>
      <c r="L20" s="8">
        <f t="shared" si="0"/>
        <v>6.0776000000000003</v>
      </c>
      <c r="M20" s="8">
        <f t="shared" si="1"/>
        <v>8.56</v>
      </c>
      <c r="N20" s="8">
        <f t="shared" si="2"/>
        <v>0</v>
      </c>
    </row>
    <row r="21" spans="1:14" ht="15.6" x14ac:dyDescent="0.3">
      <c r="A21" s="9" t="s">
        <v>11</v>
      </c>
      <c r="B21" s="9" t="s">
        <v>12</v>
      </c>
      <c r="C21" s="9" t="s">
        <v>48</v>
      </c>
      <c r="D21" s="9" t="s">
        <v>21</v>
      </c>
      <c r="E21" s="9" t="s">
        <v>22</v>
      </c>
      <c r="F21" s="9" t="s">
        <v>31</v>
      </c>
      <c r="G21" s="9" t="s">
        <v>32</v>
      </c>
      <c r="H21" s="11">
        <v>213.48</v>
      </c>
      <c r="I21" s="10">
        <v>3</v>
      </c>
      <c r="J21" s="15">
        <v>0.2</v>
      </c>
      <c r="K21" s="12">
        <v>16.010999999999999</v>
      </c>
      <c r="L21" s="12">
        <f t="shared" si="0"/>
        <v>197.46899999999999</v>
      </c>
      <c r="M21" s="12">
        <f t="shared" si="1"/>
        <v>266.84999999999997</v>
      </c>
      <c r="N21" s="12">
        <f t="shared" si="2"/>
        <v>53.369999999999976</v>
      </c>
    </row>
    <row r="22" spans="1:14" ht="15.6" x14ac:dyDescent="0.3">
      <c r="A22" s="5" t="s">
        <v>11</v>
      </c>
      <c r="B22" s="5" t="s">
        <v>12</v>
      </c>
      <c r="C22" s="5" t="s">
        <v>48</v>
      </c>
      <c r="D22" s="5" t="s">
        <v>21</v>
      </c>
      <c r="E22" s="5" t="s">
        <v>22</v>
      </c>
      <c r="F22" s="5" t="s">
        <v>23</v>
      </c>
      <c r="G22" s="5" t="s">
        <v>33</v>
      </c>
      <c r="H22" s="7">
        <v>22.72</v>
      </c>
      <c r="I22" s="6">
        <v>4</v>
      </c>
      <c r="J22" s="14">
        <v>0.2</v>
      </c>
      <c r="K22" s="8">
        <v>7.3840000000000003</v>
      </c>
      <c r="L22" s="8">
        <f t="shared" si="0"/>
        <v>15.335999999999999</v>
      </c>
      <c r="M22" s="8">
        <f t="shared" si="1"/>
        <v>28.4</v>
      </c>
      <c r="N22" s="8">
        <f t="shared" si="2"/>
        <v>5.68</v>
      </c>
    </row>
    <row r="23" spans="1:14" ht="15.6" x14ac:dyDescent="0.3">
      <c r="A23" s="9" t="s">
        <v>19</v>
      </c>
      <c r="B23" s="9" t="s">
        <v>12</v>
      </c>
      <c r="C23" s="9" t="s">
        <v>49</v>
      </c>
      <c r="D23" s="9" t="s">
        <v>50</v>
      </c>
      <c r="E23" s="9" t="s">
        <v>43</v>
      </c>
      <c r="F23" s="9" t="s">
        <v>23</v>
      </c>
      <c r="G23" s="9" t="s">
        <v>30</v>
      </c>
      <c r="H23" s="11">
        <v>19.46</v>
      </c>
      <c r="I23" s="10">
        <v>7</v>
      </c>
      <c r="J23" s="15">
        <v>0</v>
      </c>
      <c r="K23" s="12">
        <v>5.0595999999999997</v>
      </c>
      <c r="L23" s="12">
        <f t="shared" si="0"/>
        <v>14.400400000000001</v>
      </c>
      <c r="M23" s="12">
        <f t="shared" si="1"/>
        <v>19.46</v>
      </c>
      <c r="N23" s="12">
        <f t="shared" si="2"/>
        <v>0</v>
      </c>
    </row>
    <row r="24" spans="1:14" ht="15.6" x14ac:dyDescent="0.3">
      <c r="A24" s="5" t="s">
        <v>19</v>
      </c>
      <c r="B24" s="5" t="s">
        <v>12</v>
      </c>
      <c r="C24" s="5" t="s">
        <v>49</v>
      </c>
      <c r="D24" s="5" t="s">
        <v>50</v>
      </c>
      <c r="E24" s="5" t="s">
        <v>43</v>
      </c>
      <c r="F24" s="5" t="s">
        <v>23</v>
      </c>
      <c r="G24" s="5" t="s">
        <v>34</v>
      </c>
      <c r="H24" s="7">
        <v>60.34</v>
      </c>
      <c r="I24" s="6">
        <v>7</v>
      </c>
      <c r="J24" s="14">
        <v>0</v>
      </c>
      <c r="K24" s="8">
        <v>15.6884</v>
      </c>
      <c r="L24" s="8">
        <f t="shared" si="0"/>
        <v>44.651600000000002</v>
      </c>
      <c r="M24" s="8">
        <f t="shared" si="1"/>
        <v>60.34</v>
      </c>
      <c r="N24" s="8">
        <f t="shared" si="2"/>
        <v>0</v>
      </c>
    </row>
    <row r="25" spans="1:14" ht="15.6" x14ac:dyDescent="0.3">
      <c r="A25" s="9" t="s">
        <v>11</v>
      </c>
      <c r="B25" s="9" t="s">
        <v>12</v>
      </c>
      <c r="C25" s="9" t="s">
        <v>51</v>
      </c>
      <c r="D25" s="9" t="s">
        <v>52</v>
      </c>
      <c r="E25" s="9" t="s">
        <v>53</v>
      </c>
      <c r="F25" s="9" t="s">
        <v>16</v>
      </c>
      <c r="G25" s="9" t="s">
        <v>18</v>
      </c>
      <c r="H25" s="11">
        <v>71.372</v>
      </c>
      <c r="I25" s="10">
        <v>2</v>
      </c>
      <c r="J25" s="15">
        <v>0.3</v>
      </c>
      <c r="K25" s="12">
        <v>-1.0196000000000001</v>
      </c>
      <c r="L25" s="12">
        <f t="shared" si="0"/>
        <v>72.391599999999997</v>
      </c>
      <c r="M25" s="12">
        <f t="shared" si="1"/>
        <v>101.96000000000001</v>
      </c>
      <c r="N25" s="12">
        <f t="shared" si="2"/>
        <v>30.588000000000008</v>
      </c>
    </row>
    <row r="26" spans="1:14" ht="15.6" x14ac:dyDescent="0.3">
      <c r="A26" s="5" t="s">
        <v>11</v>
      </c>
      <c r="B26" s="5" t="s">
        <v>12</v>
      </c>
      <c r="C26" s="5" t="s">
        <v>54</v>
      </c>
      <c r="D26" s="5" t="s">
        <v>47</v>
      </c>
      <c r="E26" s="5" t="s">
        <v>22</v>
      </c>
      <c r="F26" s="5" t="s">
        <v>16</v>
      </c>
      <c r="G26" s="5" t="s">
        <v>27</v>
      </c>
      <c r="H26" s="7">
        <v>1044.6300000000001</v>
      </c>
      <c r="I26" s="6">
        <v>3</v>
      </c>
      <c r="J26" s="14">
        <v>0</v>
      </c>
      <c r="K26" s="8">
        <v>240.26490000000001</v>
      </c>
      <c r="L26" s="8">
        <f t="shared" si="0"/>
        <v>804.3651000000001</v>
      </c>
      <c r="M26" s="8">
        <f t="shared" si="1"/>
        <v>1044.6300000000001</v>
      </c>
      <c r="N26" s="8">
        <f t="shared" si="2"/>
        <v>0</v>
      </c>
    </row>
    <row r="27" spans="1:14" ht="15.6" x14ac:dyDescent="0.3">
      <c r="A27" s="9" t="s">
        <v>11</v>
      </c>
      <c r="B27" s="9" t="s">
        <v>12</v>
      </c>
      <c r="C27" s="9" t="s">
        <v>20</v>
      </c>
      <c r="D27" s="9" t="s">
        <v>21</v>
      </c>
      <c r="E27" s="9" t="s">
        <v>22</v>
      </c>
      <c r="F27" s="9" t="s">
        <v>23</v>
      </c>
      <c r="G27" s="9" t="s">
        <v>33</v>
      </c>
      <c r="H27" s="11">
        <v>11.648</v>
      </c>
      <c r="I27" s="10">
        <v>2</v>
      </c>
      <c r="J27" s="15">
        <v>0.2</v>
      </c>
      <c r="K27" s="12">
        <v>4.2224000000000004</v>
      </c>
      <c r="L27" s="12">
        <f t="shared" si="0"/>
        <v>7.4255999999999993</v>
      </c>
      <c r="M27" s="12">
        <f t="shared" si="1"/>
        <v>14.559999999999999</v>
      </c>
      <c r="N27" s="12">
        <f t="shared" si="2"/>
        <v>2.911999999999999</v>
      </c>
    </row>
    <row r="28" spans="1:14" ht="15.6" x14ac:dyDescent="0.3">
      <c r="A28" s="5" t="s">
        <v>11</v>
      </c>
      <c r="B28" s="5" t="s">
        <v>12</v>
      </c>
      <c r="C28" s="5" t="s">
        <v>20</v>
      </c>
      <c r="D28" s="5" t="s">
        <v>21</v>
      </c>
      <c r="E28" s="5" t="s">
        <v>22</v>
      </c>
      <c r="F28" s="5" t="s">
        <v>31</v>
      </c>
      <c r="G28" s="5" t="s">
        <v>55</v>
      </c>
      <c r="H28" s="7">
        <v>90.57</v>
      </c>
      <c r="I28" s="6">
        <v>3</v>
      </c>
      <c r="J28" s="14">
        <v>0</v>
      </c>
      <c r="K28" s="8">
        <v>11.774100000000001</v>
      </c>
      <c r="L28" s="8">
        <f t="shared" si="0"/>
        <v>78.795899999999989</v>
      </c>
      <c r="M28" s="8">
        <f t="shared" si="1"/>
        <v>90.57</v>
      </c>
      <c r="N28" s="8">
        <f t="shared" si="2"/>
        <v>0</v>
      </c>
    </row>
    <row r="29" spans="1:14" ht="15.6" x14ac:dyDescent="0.3">
      <c r="A29" s="9" t="s">
        <v>11</v>
      </c>
      <c r="B29" s="9" t="s">
        <v>12</v>
      </c>
      <c r="C29" s="9" t="s">
        <v>51</v>
      </c>
      <c r="D29" s="9" t="s">
        <v>52</v>
      </c>
      <c r="E29" s="9" t="s">
        <v>53</v>
      </c>
      <c r="F29" s="9" t="s">
        <v>16</v>
      </c>
      <c r="G29" s="9" t="s">
        <v>17</v>
      </c>
      <c r="H29" s="11">
        <v>3083.43</v>
      </c>
      <c r="I29" s="10">
        <v>7</v>
      </c>
      <c r="J29" s="15">
        <v>0.5</v>
      </c>
      <c r="K29" s="12">
        <v>-1665.0522000000001</v>
      </c>
      <c r="L29" s="12">
        <f t="shared" si="0"/>
        <v>4748.4822000000004</v>
      </c>
      <c r="M29" s="12">
        <f t="shared" si="1"/>
        <v>6166.86</v>
      </c>
      <c r="N29" s="12">
        <f t="shared" si="2"/>
        <v>3083.43</v>
      </c>
    </row>
    <row r="30" spans="1:14" ht="15.6" x14ac:dyDescent="0.3">
      <c r="A30" s="5" t="s">
        <v>11</v>
      </c>
      <c r="B30" s="5" t="s">
        <v>12</v>
      </c>
      <c r="C30" s="5" t="s">
        <v>51</v>
      </c>
      <c r="D30" s="5" t="s">
        <v>52</v>
      </c>
      <c r="E30" s="5" t="s">
        <v>53</v>
      </c>
      <c r="F30" s="5" t="s">
        <v>23</v>
      </c>
      <c r="G30" s="5" t="s">
        <v>33</v>
      </c>
      <c r="H30" s="7">
        <v>9.6180000000000003</v>
      </c>
      <c r="I30" s="6">
        <v>2</v>
      </c>
      <c r="J30" s="14">
        <v>0.7</v>
      </c>
      <c r="K30" s="8">
        <v>-7.0532000000000004</v>
      </c>
      <c r="L30" s="8">
        <f t="shared" si="0"/>
        <v>16.671199999999999</v>
      </c>
      <c r="M30" s="8">
        <f t="shared" si="1"/>
        <v>32.059999999999995</v>
      </c>
      <c r="N30" s="8">
        <f t="shared" si="2"/>
        <v>22.441999999999993</v>
      </c>
    </row>
    <row r="31" spans="1:14" ht="15.6" x14ac:dyDescent="0.3">
      <c r="A31" s="9" t="s">
        <v>11</v>
      </c>
      <c r="B31" s="9" t="s">
        <v>12</v>
      </c>
      <c r="C31" s="9" t="s">
        <v>51</v>
      </c>
      <c r="D31" s="9" t="s">
        <v>52</v>
      </c>
      <c r="E31" s="9" t="s">
        <v>53</v>
      </c>
      <c r="F31" s="9" t="s">
        <v>16</v>
      </c>
      <c r="G31" s="9" t="s">
        <v>29</v>
      </c>
      <c r="H31" s="11">
        <v>124.2</v>
      </c>
      <c r="I31" s="10">
        <v>3</v>
      </c>
      <c r="J31" s="15">
        <v>0.2</v>
      </c>
      <c r="K31" s="12">
        <v>15.525</v>
      </c>
      <c r="L31" s="12">
        <f t="shared" si="0"/>
        <v>108.675</v>
      </c>
      <c r="M31" s="12">
        <f t="shared" si="1"/>
        <v>155.25</v>
      </c>
      <c r="N31" s="12">
        <f t="shared" si="2"/>
        <v>31.049999999999997</v>
      </c>
    </row>
    <row r="32" spans="1:14" ht="15.6" x14ac:dyDescent="0.3">
      <c r="A32" s="5" t="s">
        <v>11</v>
      </c>
      <c r="B32" s="5" t="s">
        <v>12</v>
      </c>
      <c r="C32" s="5" t="s">
        <v>51</v>
      </c>
      <c r="D32" s="5" t="s">
        <v>52</v>
      </c>
      <c r="E32" s="5" t="s">
        <v>53</v>
      </c>
      <c r="F32" s="5" t="s">
        <v>23</v>
      </c>
      <c r="G32" s="5" t="s">
        <v>56</v>
      </c>
      <c r="H32" s="7">
        <v>3.2639999999999998</v>
      </c>
      <c r="I32" s="6">
        <v>2</v>
      </c>
      <c r="J32" s="14">
        <v>0.2</v>
      </c>
      <c r="K32" s="8">
        <v>1.1015999999999999</v>
      </c>
      <c r="L32" s="8">
        <f t="shared" si="0"/>
        <v>2.1623999999999999</v>
      </c>
      <c r="M32" s="8">
        <f t="shared" si="1"/>
        <v>4.0799999999999992</v>
      </c>
      <c r="N32" s="8">
        <f t="shared" si="2"/>
        <v>0.81599999999999939</v>
      </c>
    </row>
    <row r="33" spans="1:14" ht="15.6" x14ac:dyDescent="0.3">
      <c r="A33" s="9" t="s">
        <v>11</v>
      </c>
      <c r="B33" s="9" t="s">
        <v>12</v>
      </c>
      <c r="C33" s="9" t="s">
        <v>51</v>
      </c>
      <c r="D33" s="9" t="s">
        <v>52</v>
      </c>
      <c r="E33" s="9" t="s">
        <v>53</v>
      </c>
      <c r="F33" s="9" t="s">
        <v>23</v>
      </c>
      <c r="G33" s="9" t="s">
        <v>30</v>
      </c>
      <c r="H33" s="11">
        <v>86.304000000000002</v>
      </c>
      <c r="I33" s="10">
        <v>6</v>
      </c>
      <c r="J33" s="15">
        <v>0.2</v>
      </c>
      <c r="K33" s="12">
        <v>9.7091999999999992</v>
      </c>
      <c r="L33" s="12">
        <f t="shared" si="0"/>
        <v>76.594800000000006</v>
      </c>
      <c r="M33" s="12">
        <f t="shared" si="1"/>
        <v>107.88</v>
      </c>
      <c r="N33" s="12">
        <f t="shared" si="2"/>
        <v>21.575999999999993</v>
      </c>
    </row>
    <row r="34" spans="1:14" ht="15.6" x14ac:dyDescent="0.3">
      <c r="A34" s="5" t="s">
        <v>11</v>
      </c>
      <c r="B34" s="5" t="s">
        <v>12</v>
      </c>
      <c r="C34" s="5" t="s">
        <v>51</v>
      </c>
      <c r="D34" s="5" t="s">
        <v>52</v>
      </c>
      <c r="E34" s="5" t="s">
        <v>53</v>
      </c>
      <c r="F34" s="5" t="s">
        <v>23</v>
      </c>
      <c r="G34" s="5" t="s">
        <v>33</v>
      </c>
      <c r="H34" s="7">
        <v>6.8579999999999997</v>
      </c>
      <c r="I34" s="6">
        <v>6</v>
      </c>
      <c r="J34" s="14">
        <v>0.7</v>
      </c>
      <c r="K34" s="8">
        <v>-5.7149999999999999</v>
      </c>
      <c r="L34" s="8">
        <f t="shared" ref="L34:L65" si="3">H34-K34</f>
        <v>12.573</v>
      </c>
      <c r="M34" s="8">
        <f t="shared" ref="M34:M65" si="4">H34/(1-J34)</f>
        <v>22.859999999999996</v>
      </c>
      <c r="N34" s="8">
        <f t="shared" ref="N34:N65" si="5">M34-H34</f>
        <v>16.001999999999995</v>
      </c>
    </row>
    <row r="35" spans="1:14" ht="15.6" x14ac:dyDescent="0.3">
      <c r="A35" s="9" t="s">
        <v>11</v>
      </c>
      <c r="B35" s="9" t="s">
        <v>12</v>
      </c>
      <c r="C35" s="9" t="s">
        <v>51</v>
      </c>
      <c r="D35" s="9" t="s">
        <v>52</v>
      </c>
      <c r="E35" s="9" t="s">
        <v>53</v>
      </c>
      <c r="F35" s="9" t="s">
        <v>23</v>
      </c>
      <c r="G35" s="9" t="s">
        <v>30</v>
      </c>
      <c r="H35" s="11">
        <v>15.76</v>
      </c>
      <c r="I35" s="10">
        <v>2</v>
      </c>
      <c r="J35" s="15">
        <v>0.2</v>
      </c>
      <c r="K35" s="12">
        <v>3.5459999999999998</v>
      </c>
      <c r="L35" s="12">
        <f t="shared" si="3"/>
        <v>12.214</v>
      </c>
      <c r="M35" s="12">
        <f t="shared" si="4"/>
        <v>19.7</v>
      </c>
      <c r="N35" s="12">
        <f t="shared" si="5"/>
        <v>3.9399999999999995</v>
      </c>
    </row>
    <row r="36" spans="1:14" ht="15.6" x14ac:dyDescent="0.3">
      <c r="A36" s="5" t="s">
        <v>40</v>
      </c>
      <c r="B36" s="5" t="s">
        <v>12</v>
      </c>
      <c r="C36" s="5" t="s">
        <v>57</v>
      </c>
      <c r="D36" s="5" t="s">
        <v>42</v>
      </c>
      <c r="E36" s="5" t="s">
        <v>43</v>
      </c>
      <c r="F36" s="5" t="s">
        <v>23</v>
      </c>
      <c r="G36" s="5" t="s">
        <v>37</v>
      </c>
      <c r="H36" s="7">
        <v>29.472000000000001</v>
      </c>
      <c r="I36" s="6">
        <v>3</v>
      </c>
      <c r="J36" s="14">
        <v>0.2</v>
      </c>
      <c r="K36" s="8">
        <v>9.9467999999999996</v>
      </c>
      <c r="L36" s="8">
        <f t="shared" si="3"/>
        <v>19.525200000000002</v>
      </c>
      <c r="M36" s="8">
        <f t="shared" si="4"/>
        <v>36.839999999999996</v>
      </c>
      <c r="N36" s="8">
        <f t="shared" si="5"/>
        <v>7.367999999999995</v>
      </c>
    </row>
    <row r="37" spans="1:14" ht="15.6" x14ac:dyDescent="0.3">
      <c r="A37" s="9" t="s">
        <v>19</v>
      </c>
      <c r="B37" s="9" t="s">
        <v>12</v>
      </c>
      <c r="C37" s="9" t="s">
        <v>58</v>
      </c>
      <c r="D37" s="9" t="s">
        <v>42</v>
      </c>
      <c r="E37" s="9" t="s">
        <v>43</v>
      </c>
      <c r="F37" s="9" t="s">
        <v>31</v>
      </c>
      <c r="G37" s="9" t="s">
        <v>32</v>
      </c>
      <c r="H37" s="11">
        <v>1097.5440000000001</v>
      </c>
      <c r="I37" s="10">
        <v>7</v>
      </c>
      <c r="J37" s="15">
        <v>0.2</v>
      </c>
      <c r="K37" s="12">
        <v>123.47369999999999</v>
      </c>
      <c r="L37" s="12">
        <f t="shared" si="3"/>
        <v>974.07030000000009</v>
      </c>
      <c r="M37" s="12">
        <f t="shared" si="4"/>
        <v>1371.93</v>
      </c>
      <c r="N37" s="12">
        <f t="shared" si="5"/>
        <v>274.38599999999997</v>
      </c>
    </row>
    <row r="38" spans="1:14" ht="15.6" x14ac:dyDescent="0.3">
      <c r="A38" s="5" t="s">
        <v>19</v>
      </c>
      <c r="B38" s="5" t="s">
        <v>12</v>
      </c>
      <c r="C38" s="5" t="s">
        <v>58</v>
      </c>
      <c r="D38" s="5" t="s">
        <v>42</v>
      </c>
      <c r="E38" s="5" t="s">
        <v>43</v>
      </c>
      <c r="F38" s="5" t="s">
        <v>16</v>
      </c>
      <c r="G38" s="5" t="s">
        <v>29</v>
      </c>
      <c r="H38" s="7">
        <v>190.92</v>
      </c>
      <c r="I38" s="6">
        <v>5</v>
      </c>
      <c r="J38" s="14">
        <v>0.6</v>
      </c>
      <c r="K38" s="8">
        <v>-147.96299999999999</v>
      </c>
      <c r="L38" s="8">
        <f t="shared" si="3"/>
        <v>338.88299999999998</v>
      </c>
      <c r="M38" s="8">
        <f t="shared" si="4"/>
        <v>477.29999999999995</v>
      </c>
      <c r="N38" s="8">
        <f t="shared" si="5"/>
        <v>286.38</v>
      </c>
    </row>
    <row r="39" spans="1:14" ht="15.6" x14ac:dyDescent="0.3">
      <c r="A39" s="9" t="s">
        <v>40</v>
      </c>
      <c r="B39" s="9" t="s">
        <v>12</v>
      </c>
      <c r="C39" s="9" t="s">
        <v>57</v>
      </c>
      <c r="D39" s="9" t="s">
        <v>42</v>
      </c>
      <c r="E39" s="9" t="s">
        <v>43</v>
      </c>
      <c r="F39" s="9" t="s">
        <v>23</v>
      </c>
      <c r="G39" s="9" t="s">
        <v>56</v>
      </c>
      <c r="H39" s="11">
        <v>113.328</v>
      </c>
      <c r="I39" s="10">
        <v>9</v>
      </c>
      <c r="J39" s="15">
        <v>0.2</v>
      </c>
      <c r="K39" s="12">
        <v>35.414999999999999</v>
      </c>
      <c r="L39" s="12">
        <f t="shared" si="3"/>
        <v>77.913000000000011</v>
      </c>
      <c r="M39" s="12">
        <f t="shared" si="4"/>
        <v>141.66</v>
      </c>
      <c r="N39" s="12">
        <f t="shared" si="5"/>
        <v>28.331999999999994</v>
      </c>
    </row>
    <row r="40" spans="1:14" ht="15.6" x14ac:dyDescent="0.3">
      <c r="A40" s="5" t="s">
        <v>40</v>
      </c>
      <c r="B40" s="5" t="s">
        <v>12</v>
      </c>
      <c r="C40" s="5" t="s">
        <v>57</v>
      </c>
      <c r="D40" s="5" t="s">
        <v>42</v>
      </c>
      <c r="E40" s="5" t="s">
        <v>43</v>
      </c>
      <c r="F40" s="5" t="s">
        <v>16</v>
      </c>
      <c r="G40" s="5" t="s">
        <v>17</v>
      </c>
      <c r="H40" s="7">
        <v>532.39919999999995</v>
      </c>
      <c r="I40" s="6">
        <v>3</v>
      </c>
      <c r="J40" s="14">
        <v>0.32</v>
      </c>
      <c r="K40" s="8">
        <v>-46.976399999999998</v>
      </c>
      <c r="L40" s="8">
        <f t="shared" si="3"/>
        <v>579.37559999999996</v>
      </c>
      <c r="M40" s="8">
        <f t="shared" si="4"/>
        <v>782.94</v>
      </c>
      <c r="N40" s="8">
        <f t="shared" si="5"/>
        <v>250.5408000000001</v>
      </c>
    </row>
    <row r="41" spans="1:14" ht="15.6" x14ac:dyDescent="0.3">
      <c r="A41" s="9" t="s">
        <v>40</v>
      </c>
      <c r="B41" s="9" t="s">
        <v>12</v>
      </c>
      <c r="C41" s="9" t="s">
        <v>57</v>
      </c>
      <c r="D41" s="9" t="s">
        <v>42</v>
      </c>
      <c r="E41" s="9" t="s">
        <v>43</v>
      </c>
      <c r="F41" s="9" t="s">
        <v>16</v>
      </c>
      <c r="G41" s="9" t="s">
        <v>18</v>
      </c>
      <c r="H41" s="11">
        <v>212.05799999999999</v>
      </c>
      <c r="I41" s="10">
        <v>3</v>
      </c>
      <c r="J41" s="15">
        <v>0.3</v>
      </c>
      <c r="K41" s="12">
        <v>-15.147</v>
      </c>
      <c r="L41" s="12">
        <f t="shared" si="3"/>
        <v>227.20499999999998</v>
      </c>
      <c r="M41" s="12">
        <f t="shared" si="4"/>
        <v>302.94</v>
      </c>
      <c r="N41" s="12">
        <f t="shared" si="5"/>
        <v>90.882000000000005</v>
      </c>
    </row>
    <row r="42" spans="1:14" ht="15.6" x14ac:dyDescent="0.3">
      <c r="A42" s="5" t="s">
        <v>40</v>
      </c>
      <c r="B42" s="5" t="s">
        <v>12</v>
      </c>
      <c r="C42" s="5" t="s">
        <v>57</v>
      </c>
      <c r="D42" s="5" t="s">
        <v>42</v>
      </c>
      <c r="E42" s="5" t="s">
        <v>43</v>
      </c>
      <c r="F42" s="5" t="s">
        <v>31</v>
      </c>
      <c r="G42" s="5" t="s">
        <v>32</v>
      </c>
      <c r="H42" s="7">
        <v>371.16800000000001</v>
      </c>
      <c r="I42" s="6">
        <v>4</v>
      </c>
      <c r="J42" s="14">
        <v>0.2</v>
      </c>
      <c r="K42" s="8">
        <v>41.756399999999999</v>
      </c>
      <c r="L42" s="8">
        <f t="shared" si="3"/>
        <v>329.41160000000002</v>
      </c>
      <c r="M42" s="8">
        <f t="shared" si="4"/>
        <v>463.96</v>
      </c>
      <c r="N42" s="8">
        <f t="shared" si="5"/>
        <v>92.791999999999973</v>
      </c>
    </row>
    <row r="43" spans="1:14" ht="15.6" x14ac:dyDescent="0.3">
      <c r="A43" s="9" t="s">
        <v>19</v>
      </c>
      <c r="B43" s="9" t="s">
        <v>12</v>
      </c>
      <c r="C43" s="9" t="s">
        <v>59</v>
      </c>
      <c r="D43" s="9" t="s">
        <v>60</v>
      </c>
      <c r="E43" s="9" t="s">
        <v>43</v>
      </c>
      <c r="F43" s="9" t="s">
        <v>31</v>
      </c>
      <c r="G43" s="9" t="s">
        <v>32</v>
      </c>
      <c r="H43" s="11">
        <v>147.16800000000001</v>
      </c>
      <c r="I43" s="10">
        <v>4</v>
      </c>
      <c r="J43" s="15">
        <v>0.2</v>
      </c>
      <c r="K43" s="12">
        <v>16.5564</v>
      </c>
      <c r="L43" s="12">
        <f t="shared" si="3"/>
        <v>130.61160000000001</v>
      </c>
      <c r="M43" s="12">
        <f t="shared" si="4"/>
        <v>183.96</v>
      </c>
      <c r="N43" s="12">
        <f t="shared" si="5"/>
        <v>36.792000000000002</v>
      </c>
    </row>
    <row r="44" spans="1:14" ht="15.6" x14ac:dyDescent="0.3">
      <c r="A44" s="5" t="s">
        <v>19</v>
      </c>
      <c r="B44" s="5" t="s">
        <v>12</v>
      </c>
      <c r="C44" s="5" t="s">
        <v>20</v>
      </c>
      <c r="D44" s="5" t="s">
        <v>21</v>
      </c>
      <c r="E44" s="5" t="s">
        <v>22</v>
      </c>
      <c r="F44" s="5" t="s">
        <v>23</v>
      </c>
      <c r="G44" s="5" t="s">
        <v>28</v>
      </c>
      <c r="H44" s="7">
        <v>77.88</v>
      </c>
      <c r="I44" s="6">
        <v>2</v>
      </c>
      <c r="J44" s="14">
        <v>0</v>
      </c>
      <c r="K44" s="8">
        <v>3.8940000000000001</v>
      </c>
      <c r="L44" s="8">
        <f t="shared" si="3"/>
        <v>73.98599999999999</v>
      </c>
      <c r="M44" s="8">
        <f t="shared" si="4"/>
        <v>77.88</v>
      </c>
      <c r="N44" s="8">
        <f t="shared" si="5"/>
        <v>0</v>
      </c>
    </row>
    <row r="45" spans="1:14" ht="15.6" x14ac:dyDescent="0.3">
      <c r="A45" s="9" t="s">
        <v>19</v>
      </c>
      <c r="B45" s="9" t="s">
        <v>12</v>
      </c>
      <c r="C45" s="9" t="s">
        <v>61</v>
      </c>
      <c r="D45" s="9" t="s">
        <v>26</v>
      </c>
      <c r="E45" s="9" t="s">
        <v>15</v>
      </c>
      <c r="F45" s="9" t="s">
        <v>23</v>
      </c>
      <c r="G45" s="9" t="s">
        <v>28</v>
      </c>
      <c r="H45" s="11">
        <v>95.616</v>
      </c>
      <c r="I45" s="10">
        <v>2</v>
      </c>
      <c r="J45" s="15">
        <v>0.2</v>
      </c>
      <c r="K45" s="12">
        <v>9.5616000000000003</v>
      </c>
      <c r="L45" s="12">
        <f t="shared" si="3"/>
        <v>86.054400000000001</v>
      </c>
      <c r="M45" s="12">
        <f t="shared" si="4"/>
        <v>119.52</v>
      </c>
      <c r="N45" s="12">
        <f t="shared" si="5"/>
        <v>23.903999999999996</v>
      </c>
    </row>
    <row r="46" spans="1:14" ht="15.6" x14ac:dyDescent="0.3">
      <c r="A46" s="5" t="s">
        <v>19</v>
      </c>
      <c r="B46" s="5" t="s">
        <v>12</v>
      </c>
      <c r="C46" s="5" t="s">
        <v>62</v>
      </c>
      <c r="D46" s="5" t="s">
        <v>63</v>
      </c>
      <c r="E46" s="5" t="s">
        <v>43</v>
      </c>
      <c r="F46" s="5" t="s">
        <v>31</v>
      </c>
      <c r="G46" s="5" t="s">
        <v>55</v>
      </c>
      <c r="H46" s="7">
        <v>45.98</v>
      </c>
      <c r="I46" s="6">
        <v>2</v>
      </c>
      <c r="J46" s="14">
        <v>0</v>
      </c>
      <c r="K46" s="8">
        <v>19.7714</v>
      </c>
      <c r="L46" s="8">
        <f t="shared" si="3"/>
        <v>26.208599999999997</v>
      </c>
      <c r="M46" s="8">
        <f t="shared" si="4"/>
        <v>45.98</v>
      </c>
      <c r="N46" s="8">
        <f t="shared" si="5"/>
        <v>0</v>
      </c>
    </row>
    <row r="47" spans="1:14" ht="15.6" x14ac:dyDescent="0.3">
      <c r="A47" s="9" t="s">
        <v>19</v>
      </c>
      <c r="B47" s="9" t="s">
        <v>12</v>
      </c>
      <c r="C47" s="9" t="s">
        <v>62</v>
      </c>
      <c r="D47" s="9" t="s">
        <v>63</v>
      </c>
      <c r="E47" s="9" t="s">
        <v>43</v>
      </c>
      <c r="F47" s="9" t="s">
        <v>23</v>
      </c>
      <c r="G47" s="9" t="s">
        <v>33</v>
      </c>
      <c r="H47" s="11">
        <v>17.46</v>
      </c>
      <c r="I47" s="10">
        <v>2</v>
      </c>
      <c r="J47" s="15">
        <v>0</v>
      </c>
      <c r="K47" s="12">
        <v>8.2062000000000008</v>
      </c>
      <c r="L47" s="12">
        <f t="shared" si="3"/>
        <v>9.2538</v>
      </c>
      <c r="M47" s="12">
        <f t="shared" si="4"/>
        <v>17.46</v>
      </c>
      <c r="N47" s="12">
        <f t="shared" si="5"/>
        <v>0</v>
      </c>
    </row>
    <row r="48" spans="1:14" ht="15.6" x14ac:dyDescent="0.3">
      <c r="A48" s="5" t="s">
        <v>11</v>
      </c>
      <c r="B48" s="5" t="s">
        <v>12</v>
      </c>
      <c r="C48" s="5" t="s">
        <v>64</v>
      </c>
      <c r="D48" s="5" t="s">
        <v>65</v>
      </c>
      <c r="E48" s="5" t="s">
        <v>43</v>
      </c>
      <c r="F48" s="5" t="s">
        <v>23</v>
      </c>
      <c r="G48" s="5" t="s">
        <v>28</v>
      </c>
      <c r="H48" s="7">
        <v>211.96</v>
      </c>
      <c r="I48" s="6">
        <v>4</v>
      </c>
      <c r="J48" s="14">
        <v>0</v>
      </c>
      <c r="K48" s="8">
        <v>8.4784000000000006</v>
      </c>
      <c r="L48" s="8">
        <f t="shared" si="3"/>
        <v>203.48160000000001</v>
      </c>
      <c r="M48" s="8">
        <f t="shared" si="4"/>
        <v>211.96</v>
      </c>
      <c r="N48" s="8">
        <f t="shared" si="5"/>
        <v>0</v>
      </c>
    </row>
    <row r="49" spans="1:14" ht="15.6" x14ac:dyDescent="0.3">
      <c r="A49" s="9" t="s">
        <v>11</v>
      </c>
      <c r="B49" s="9" t="s">
        <v>12</v>
      </c>
      <c r="C49" s="9" t="s">
        <v>66</v>
      </c>
      <c r="D49" s="9" t="s">
        <v>67</v>
      </c>
      <c r="E49" s="9" t="s">
        <v>53</v>
      </c>
      <c r="F49" s="9" t="s">
        <v>31</v>
      </c>
      <c r="G49" s="9" t="s">
        <v>55</v>
      </c>
      <c r="H49" s="11">
        <v>45</v>
      </c>
      <c r="I49" s="10">
        <v>3</v>
      </c>
      <c r="J49" s="15">
        <v>0</v>
      </c>
      <c r="K49" s="12">
        <v>4.95</v>
      </c>
      <c r="L49" s="12">
        <f t="shared" si="3"/>
        <v>40.049999999999997</v>
      </c>
      <c r="M49" s="12">
        <f t="shared" si="4"/>
        <v>45</v>
      </c>
      <c r="N49" s="12">
        <f t="shared" si="5"/>
        <v>0</v>
      </c>
    </row>
    <row r="50" spans="1:14" ht="15.6" x14ac:dyDescent="0.3">
      <c r="A50" s="5" t="s">
        <v>11</v>
      </c>
      <c r="B50" s="5" t="s">
        <v>12</v>
      </c>
      <c r="C50" s="5" t="s">
        <v>66</v>
      </c>
      <c r="D50" s="5" t="s">
        <v>67</v>
      </c>
      <c r="E50" s="5" t="s">
        <v>53</v>
      </c>
      <c r="F50" s="5" t="s">
        <v>31</v>
      </c>
      <c r="G50" s="5" t="s">
        <v>32</v>
      </c>
      <c r="H50" s="7">
        <v>21.8</v>
      </c>
      <c r="I50" s="6">
        <v>2</v>
      </c>
      <c r="J50" s="14">
        <v>0</v>
      </c>
      <c r="K50" s="8">
        <v>6.1040000000000001</v>
      </c>
      <c r="L50" s="8">
        <f t="shared" si="3"/>
        <v>15.696000000000002</v>
      </c>
      <c r="M50" s="8">
        <f t="shared" si="4"/>
        <v>21.8</v>
      </c>
      <c r="N50" s="8">
        <f t="shared" si="5"/>
        <v>0</v>
      </c>
    </row>
    <row r="51" spans="1:14" ht="15.6" x14ac:dyDescent="0.3">
      <c r="A51" s="9" t="s">
        <v>11</v>
      </c>
      <c r="B51" s="9" t="s">
        <v>12</v>
      </c>
      <c r="C51" s="9" t="s">
        <v>68</v>
      </c>
      <c r="D51" s="9" t="s">
        <v>69</v>
      </c>
      <c r="E51" s="9" t="s">
        <v>43</v>
      </c>
      <c r="F51" s="9" t="s">
        <v>23</v>
      </c>
      <c r="G51" s="9" t="s">
        <v>33</v>
      </c>
      <c r="H51" s="11">
        <v>38.22</v>
      </c>
      <c r="I51" s="10">
        <v>6</v>
      </c>
      <c r="J51" s="15">
        <v>0</v>
      </c>
      <c r="K51" s="12">
        <v>17.9634</v>
      </c>
      <c r="L51" s="12">
        <f t="shared" si="3"/>
        <v>20.256599999999999</v>
      </c>
      <c r="M51" s="12">
        <f t="shared" si="4"/>
        <v>38.22</v>
      </c>
      <c r="N51" s="12">
        <f t="shared" si="5"/>
        <v>0</v>
      </c>
    </row>
    <row r="52" spans="1:14" ht="15.6" x14ac:dyDescent="0.3">
      <c r="A52" s="5" t="s">
        <v>11</v>
      </c>
      <c r="B52" s="5" t="s">
        <v>12</v>
      </c>
      <c r="C52" s="5" t="s">
        <v>68</v>
      </c>
      <c r="D52" s="5" t="s">
        <v>69</v>
      </c>
      <c r="E52" s="5" t="s">
        <v>43</v>
      </c>
      <c r="F52" s="5" t="s">
        <v>23</v>
      </c>
      <c r="G52" s="5" t="s">
        <v>24</v>
      </c>
      <c r="H52" s="7">
        <v>75.180000000000007</v>
      </c>
      <c r="I52" s="6">
        <v>6</v>
      </c>
      <c r="J52" s="14">
        <v>0</v>
      </c>
      <c r="K52" s="8">
        <v>35.334600000000002</v>
      </c>
      <c r="L52" s="8">
        <f t="shared" si="3"/>
        <v>39.845400000000005</v>
      </c>
      <c r="M52" s="8">
        <f t="shared" si="4"/>
        <v>75.180000000000007</v>
      </c>
      <c r="N52" s="8">
        <f t="shared" si="5"/>
        <v>0</v>
      </c>
    </row>
    <row r="53" spans="1:14" ht="15.6" x14ac:dyDescent="0.3">
      <c r="A53" s="9" t="s">
        <v>11</v>
      </c>
      <c r="B53" s="9" t="s">
        <v>12</v>
      </c>
      <c r="C53" s="9" t="s">
        <v>68</v>
      </c>
      <c r="D53" s="9" t="s">
        <v>69</v>
      </c>
      <c r="E53" s="9" t="s">
        <v>43</v>
      </c>
      <c r="F53" s="9" t="s">
        <v>16</v>
      </c>
      <c r="G53" s="9" t="s">
        <v>29</v>
      </c>
      <c r="H53" s="11">
        <v>6.16</v>
      </c>
      <c r="I53" s="10">
        <v>2</v>
      </c>
      <c r="J53" s="15">
        <v>0</v>
      </c>
      <c r="K53" s="12">
        <v>2.9567999999999999</v>
      </c>
      <c r="L53" s="12">
        <f t="shared" si="3"/>
        <v>3.2032000000000003</v>
      </c>
      <c r="M53" s="12">
        <f t="shared" si="4"/>
        <v>6.16</v>
      </c>
      <c r="N53" s="12">
        <f t="shared" si="5"/>
        <v>0</v>
      </c>
    </row>
    <row r="54" spans="1:14" ht="15.6" x14ac:dyDescent="0.3">
      <c r="A54" s="5" t="s">
        <v>11</v>
      </c>
      <c r="B54" s="5" t="s">
        <v>12</v>
      </c>
      <c r="C54" s="5" t="s">
        <v>68</v>
      </c>
      <c r="D54" s="5" t="s">
        <v>69</v>
      </c>
      <c r="E54" s="5" t="s">
        <v>43</v>
      </c>
      <c r="F54" s="5" t="s">
        <v>16</v>
      </c>
      <c r="G54" s="5" t="s">
        <v>18</v>
      </c>
      <c r="H54" s="7">
        <v>89.99</v>
      </c>
      <c r="I54" s="6">
        <v>1</v>
      </c>
      <c r="J54" s="14">
        <v>0</v>
      </c>
      <c r="K54" s="8">
        <v>17.098099999999999</v>
      </c>
      <c r="L54" s="8">
        <f t="shared" si="3"/>
        <v>72.891899999999993</v>
      </c>
      <c r="M54" s="8">
        <f t="shared" si="4"/>
        <v>89.99</v>
      </c>
      <c r="N54" s="8">
        <f t="shared" si="5"/>
        <v>0</v>
      </c>
    </row>
    <row r="55" spans="1:14" ht="15.6" x14ac:dyDescent="0.3">
      <c r="A55" s="9" t="s">
        <v>19</v>
      </c>
      <c r="B55" s="9" t="s">
        <v>12</v>
      </c>
      <c r="C55" s="9" t="s">
        <v>70</v>
      </c>
      <c r="D55" s="9" t="s">
        <v>71</v>
      </c>
      <c r="E55" s="9" t="s">
        <v>53</v>
      </c>
      <c r="F55" s="9" t="s">
        <v>23</v>
      </c>
      <c r="G55" s="9" t="s">
        <v>72</v>
      </c>
      <c r="H55" s="11">
        <v>15.26</v>
      </c>
      <c r="I55" s="10">
        <v>7</v>
      </c>
      <c r="J55" s="15">
        <v>0</v>
      </c>
      <c r="K55" s="12">
        <v>6.2565999999999997</v>
      </c>
      <c r="L55" s="12">
        <f t="shared" si="3"/>
        <v>9.0033999999999992</v>
      </c>
      <c r="M55" s="12">
        <f t="shared" si="4"/>
        <v>15.26</v>
      </c>
      <c r="N55" s="12">
        <f t="shared" si="5"/>
        <v>0</v>
      </c>
    </row>
    <row r="56" spans="1:14" ht="15.6" x14ac:dyDescent="0.3">
      <c r="A56" s="5" t="s">
        <v>19</v>
      </c>
      <c r="B56" s="5" t="s">
        <v>12</v>
      </c>
      <c r="C56" s="5" t="s">
        <v>70</v>
      </c>
      <c r="D56" s="5" t="s">
        <v>71</v>
      </c>
      <c r="E56" s="5" t="s">
        <v>53</v>
      </c>
      <c r="F56" s="5" t="s">
        <v>31</v>
      </c>
      <c r="G56" s="5" t="s">
        <v>32</v>
      </c>
      <c r="H56" s="7">
        <v>1029.95</v>
      </c>
      <c r="I56" s="6">
        <v>5</v>
      </c>
      <c r="J56" s="14">
        <v>0</v>
      </c>
      <c r="K56" s="8">
        <v>298.68549999999999</v>
      </c>
      <c r="L56" s="8">
        <f t="shared" si="3"/>
        <v>731.2645</v>
      </c>
      <c r="M56" s="8">
        <f t="shared" si="4"/>
        <v>1029.95</v>
      </c>
      <c r="N56" s="8">
        <f t="shared" si="5"/>
        <v>0</v>
      </c>
    </row>
    <row r="57" spans="1:14" ht="15.6" x14ac:dyDescent="0.3">
      <c r="A57" s="9" t="s">
        <v>11</v>
      </c>
      <c r="B57" s="9" t="s">
        <v>12</v>
      </c>
      <c r="C57" s="9" t="s">
        <v>73</v>
      </c>
      <c r="D57" s="9" t="s">
        <v>71</v>
      </c>
      <c r="E57" s="9" t="s">
        <v>53</v>
      </c>
      <c r="F57" s="9" t="s">
        <v>23</v>
      </c>
      <c r="G57" s="9" t="s">
        <v>28</v>
      </c>
      <c r="H57" s="11">
        <v>208.56</v>
      </c>
      <c r="I57" s="10">
        <v>6</v>
      </c>
      <c r="J57" s="15">
        <v>0</v>
      </c>
      <c r="K57" s="12">
        <v>52.14</v>
      </c>
      <c r="L57" s="12">
        <f t="shared" si="3"/>
        <v>156.42000000000002</v>
      </c>
      <c r="M57" s="12">
        <f t="shared" si="4"/>
        <v>208.56</v>
      </c>
      <c r="N57" s="12">
        <f t="shared" si="5"/>
        <v>0</v>
      </c>
    </row>
    <row r="58" spans="1:14" ht="15.6" x14ac:dyDescent="0.3">
      <c r="A58" s="5" t="s">
        <v>11</v>
      </c>
      <c r="B58" s="5" t="s">
        <v>12</v>
      </c>
      <c r="C58" s="5" t="s">
        <v>73</v>
      </c>
      <c r="D58" s="5" t="s">
        <v>71</v>
      </c>
      <c r="E58" s="5" t="s">
        <v>53</v>
      </c>
      <c r="F58" s="5" t="s">
        <v>23</v>
      </c>
      <c r="G58" s="5" t="s">
        <v>37</v>
      </c>
      <c r="H58" s="7">
        <v>32.4</v>
      </c>
      <c r="I58" s="6">
        <v>5</v>
      </c>
      <c r="J58" s="14">
        <v>0</v>
      </c>
      <c r="K58" s="8">
        <v>15.552</v>
      </c>
      <c r="L58" s="8">
        <f t="shared" si="3"/>
        <v>16.847999999999999</v>
      </c>
      <c r="M58" s="8">
        <f t="shared" si="4"/>
        <v>32.4</v>
      </c>
      <c r="N58" s="8">
        <f t="shared" si="5"/>
        <v>0</v>
      </c>
    </row>
    <row r="59" spans="1:14" ht="15.6" x14ac:dyDescent="0.3">
      <c r="A59" s="9" t="s">
        <v>11</v>
      </c>
      <c r="B59" s="9" t="s">
        <v>12</v>
      </c>
      <c r="C59" s="9" t="s">
        <v>73</v>
      </c>
      <c r="D59" s="9" t="s">
        <v>71</v>
      </c>
      <c r="E59" s="9" t="s">
        <v>53</v>
      </c>
      <c r="F59" s="9" t="s">
        <v>16</v>
      </c>
      <c r="G59" s="9" t="s">
        <v>18</v>
      </c>
      <c r="H59" s="11">
        <v>319.41000000000003</v>
      </c>
      <c r="I59" s="10">
        <v>5</v>
      </c>
      <c r="J59" s="15">
        <v>0.1</v>
      </c>
      <c r="K59" s="12">
        <v>7.0979999999999999</v>
      </c>
      <c r="L59" s="12">
        <f t="shared" si="3"/>
        <v>312.31200000000001</v>
      </c>
      <c r="M59" s="12">
        <f t="shared" si="4"/>
        <v>354.90000000000003</v>
      </c>
      <c r="N59" s="12">
        <f t="shared" si="5"/>
        <v>35.490000000000009</v>
      </c>
    </row>
    <row r="60" spans="1:14" ht="15.6" x14ac:dyDescent="0.3">
      <c r="A60" s="5" t="s">
        <v>11</v>
      </c>
      <c r="B60" s="5" t="s">
        <v>12</v>
      </c>
      <c r="C60" s="5" t="s">
        <v>73</v>
      </c>
      <c r="D60" s="5" t="s">
        <v>71</v>
      </c>
      <c r="E60" s="5" t="s">
        <v>53</v>
      </c>
      <c r="F60" s="5" t="s">
        <v>23</v>
      </c>
      <c r="G60" s="5" t="s">
        <v>37</v>
      </c>
      <c r="H60" s="7">
        <v>14.56</v>
      </c>
      <c r="I60" s="6">
        <v>2</v>
      </c>
      <c r="J60" s="14">
        <v>0</v>
      </c>
      <c r="K60" s="8">
        <v>6.9888000000000003</v>
      </c>
      <c r="L60" s="8">
        <f t="shared" si="3"/>
        <v>7.5712000000000002</v>
      </c>
      <c r="M60" s="8">
        <f t="shared" si="4"/>
        <v>14.56</v>
      </c>
      <c r="N60" s="8">
        <f t="shared" si="5"/>
        <v>0</v>
      </c>
    </row>
    <row r="61" spans="1:14" ht="15.6" x14ac:dyDescent="0.3">
      <c r="A61" s="9" t="s">
        <v>11</v>
      </c>
      <c r="B61" s="9" t="s">
        <v>12</v>
      </c>
      <c r="C61" s="9" t="s">
        <v>73</v>
      </c>
      <c r="D61" s="9" t="s">
        <v>71</v>
      </c>
      <c r="E61" s="9" t="s">
        <v>53</v>
      </c>
      <c r="F61" s="9" t="s">
        <v>31</v>
      </c>
      <c r="G61" s="9" t="s">
        <v>55</v>
      </c>
      <c r="H61" s="11">
        <v>30</v>
      </c>
      <c r="I61" s="10">
        <v>2</v>
      </c>
      <c r="J61" s="15">
        <v>0</v>
      </c>
      <c r="K61" s="12">
        <v>3.3</v>
      </c>
      <c r="L61" s="12">
        <f t="shared" si="3"/>
        <v>26.7</v>
      </c>
      <c r="M61" s="12">
        <f t="shared" si="4"/>
        <v>30</v>
      </c>
      <c r="N61" s="12">
        <f t="shared" si="5"/>
        <v>0</v>
      </c>
    </row>
    <row r="62" spans="1:14" ht="15.6" x14ac:dyDescent="0.3">
      <c r="A62" s="5" t="s">
        <v>11</v>
      </c>
      <c r="B62" s="5" t="s">
        <v>12</v>
      </c>
      <c r="C62" s="5" t="s">
        <v>73</v>
      </c>
      <c r="D62" s="5" t="s">
        <v>71</v>
      </c>
      <c r="E62" s="5" t="s">
        <v>53</v>
      </c>
      <c r="F62" s="5" t="s">
        <v>23</v>
      </c>
      <c r="G62" s="5" t="s">
        <v>33</v>
      </c>
      <c r="H62" s="7">
        <v>48.48</v>
      </c>
      <c r="I62" s="6">
        <v>4</v>
      </c>
      <c r="J62" s="14">
        <v>0.2</v>
      </c>
      <c r="K62" s="8">
        <v>16.361999999999998</v>
      </c>
      <c r="L62" s="8">
        <f t="shared" si="3"/>
        <v>32.117999999999995</v>
      </c>
      <c r="M62" s="8">
        <f t="shared" si="4"/>
        <v>60.599999999999994</v>
      </c>
      <c r="N62" s="8">
        <f t="shared" si="5"/>
        <v>12.119999999999997</v>
      </c>
    </row>
    <row r="63" spans="1:14" ht="15.6" x14ac:dyDescent="0.3">
      <c r="A63" s="9" t="s">
        <v>11</v>
      </c>
      <c r="B63" s="9" t="s">
        <v>12</v>
      </c>
      <c r="C63" s="9" t="s">
        <v>73</v>
      </c>
      <c r="D63" s="9" t="s">
        <v>71</v>
      </c>
      <c r="E63" s="9" t="s">
        <v>53</v>
      </c>
      <c r="F63" s="9" t="s">
        <v>23</v>
      </c>
      <c r="G63" s="9" t="s">
        <v>30</v>
      </c>
      <c r="H63" s="11">
        <v>1.68</v>
      </c>
      <c r="I63" s="10">
        <v>1</v>
      </c>
      <c r="J63" s="15">
        <v>0</v>
      </c>
      <c r="K63" s="12">
        <v>0.84</v>
      </c>
      <c r="L63" s="12">
        <f t="shared" si="3"/>
        <v>0.84</v>
      </c>
      <c r="M63" s="12">
        <f t="shared" si="4"/>
        <v>1.68</v>
      </c>
      <c r="N63" s="12">
        <f t="shared" si="5"/>
        <v>0</v>
      </c>
    </row>
    <row r="64" spans="1:14" ht="15.6" x14ac:dyDescent="0.3">
      <c r="A64" s="5" t="s">
        <v>11</v>
      </c>
      <c r="B64" s="5" t="s">
        <v>12</v>
      </c>
      <c r="C64" s="5" t="s">
        <v>20</v>
      </c>
      <c r="D64" s="5" t="s">
        <v>21</v>
      </c>
      <c r="E64" s="5" t="s">
        <v>22</v>
      </c>
      <c r="F64" s="5" t="s">
        <v>31</v>
      </c>
      <c r="G64" s="5" t="s">
        <v>55</v>
      </c>
      <c r="H64" s="7">
        <v>13.98</v>
      </c>
      <c r="I64" s="6">
        <v>2</v>
      </c>
      <c r="J64" s="14">
        <v>0</v>
      </c>
      <c r="K64" s="8">
        <v>6.1512000000000002</v>
      </c>
      <c r="L64" s="8">
        <f t="shared" si="3"/>
        <v>7.8288000000000002</v>
      </c>
      <c r="M64" s="8">
        <f t="shared" si="4"/>
        <v>13.98</v>
      </c>
      <c r="N64" s="8">
        <f t="shared" si="5"/>
        <v>0</v>
      </c>
    </row>
    <row r="65" spans="1:14" ht="15.6" x14ac:dyDescent="0.3">
      <c r="A65" s="9" t="s">
        <v>11</v>
      </c>
      <c r="B65" s="9" t="s">
        <v>12</v>
      </c>
      <c r="C65" s="9" t="s">
        <v>20</v>
      </c>
      <c r="D65" s="9" t="s">
        <v>21</v>
      </c>
      <c r="E65" s="9" t="s">
        <v>22</v>
      </c>
      <c r="F65" s="9" t="s">
        <v>23</v>
      </c>
      <c r="G65" s="9" t="s">
        <v>33</v>
      </c>
      <c r="H65" s="11">
        <v>25.824000000000002</v>
      </c>
      <c r="I65" s="10">
        <v>6</v>
      </c>
      <c r="J65" s="15">
        <v>0.2</v>
      </c>
      <c r="K65" s="12">
        <v>9.3612000000000002</v>
      </c>
      <c r="L65" s="12">
        <f t="shared" si="3"/>
        <v>16.462800000000001</v>
      </c>
      <c r="M65" s="12">
        <f t="shared" si="4"/>
        <v>32.28</v>
      </c>
      <c r="N65" s="12">
        <f t="shared" si="5"/>
        <v>6.4559999999999995</v>
      </c>
    </row>
    <row r="66" spans="1:14" ht="15.6" x14ac:dyDescent="0.3">
      <c r="A66" s="5" t="s">
        <v>11</v>
      </c>
      <c r="B66" s="5" t="s">
        <v>12</v>
      </c>
      <c r="C66" s="5" t="s">
        <v>20</v>
      </c>
      <c r="D66" s="5" t="s">
        <v>21</v>
      </c>
      <c r="E66" s="5" t="s">
        <v>22</v>
      </c>
      <c r="F66" s="5" t="s">
        <v>23</v>
      </c>
      <c r="G66" s="5" t="s">
        <v>37</v>
      </c>
      <c r="H66" s="7">
        <v>146.72999999999999</v>
      </c>
      <c r="I66" s="6">
        <v>3</v>
      </c>
      <c r="J66" s="14">
        <v>0</v>
      </c>
      <c r="K66" s="8">
        <v>68.963099999999997</v>
      </c>
      <c r="L66" s="8">
        <f t="shared" ref="L66:L97" si="6">H66-K66</f>
        <v>77.766899999999993</v>
      </c>
      <c r="M66" s="8">
        <f t="shared" ref="M66:M100" si="7">H66/(1-J66)</f>
        <v>146.72999999999999</v>
      </c>
      <c r="N66" s="8">
        <f t="shared" ref="N66:N97" si="8">M66-H66</f>
        <v>0</v>
      </c>
    </row>
    <row r="67" spans="1:14" ht="15.6" x14ac:dyDescent="0.3">
      <c r="A67" s="9" t="s">
        <v>11</v>
      </c>
      <c r="B67" s="9" t="s">
        <v>12</v>
      </c>
      <c r="C67" s="9" t="s">
        <v>20</v>
      </c>
      <c r="D67" s="9" t="s">
        <v>21</v>
      </c>
      <c r="E67" s="9" t="s">
        <v>22</v>
      </c>
      <c r="F67" s="9" t="s">
        <v>16</v>
      </c>
      <c r="G67" s="9" t="s">
        <v>29</v>
      </c>
      <c r="H67" s="11">
        <v>79.760000000000005</v>
      </c>
      <c r="I67" s="10">
        <v>4</v>
      </c>
      <c r="J67" s="15">
        <v>0</v>
      </c>
      <c r="K67" s="12">
        <v>22.332799999999999</v>
      </c>
      <c r="L67" s="12">
        <f t="shared" si="6"/>
        <v>57.427200000000006</v>
      </c>
      <c r="M67" s="12">
        <f t="shared" si="7"/>
        <v>79.760000000000005</v>
      </c>
      <c r="N67" s="12">
        <f t="shared" si="8"/>
        <v>0</v>
      </c>
    </row>
    <row r="68" spans="1:14" ht="15.6" x14ac:dyDescent="0.3">
      <c r="A68" s="5" t="s">
        <v>40</v>
      </c>
      <c r="B68" s="5" t="s">
        <v>12</v>
      </c>
      <c r="C68" s="5" t="s">
        <v>74</v>
      </c>
      <c r="D68" s="5" t="s">
        <v>60</v>
      </c>
      <c r="E68" s="5" t="s">
        <v>43</v>
      </c>
      <c r="F68" s="5" t="s">
        <v>16</v>
      </c>
      <c r="G68" s="5" t="s">
        <v>18</v>
      </c>
      <c r="H68" s="7">
        <v>213.11500000000001</v>
      </c>
      <c r="I68" s="6">
        <v>5</v>
      </c>
      <c r="J68" s="14">
        <v>0.3</v>
      </c>
      <c r="K68" s="8">
        <v>-15.2225</v>
      </c>
      <c r="L68" s="8">
        <f t="shared" si="6"/>
        <v>228.33750000000001</v>
      </c>
      <c r="M68" s="8">
        <f t="shared" si="7"/>
        <v>304.45000000000005</v>
      </c>
      <c r="N68" s="8">
        <f t="shared" si="8"/>
        <v>91.335000000000036</v>
      </c>
    </row>
    <row r="69" spans="1:14" ht="15.6" x14ac:dyDescent="0.3">
      <c r="A69" s="9" t="s">
        <v>19</v>
      </c>
      <c r="B69" s="9" t="s">
        <v>12</v>
      </c>
      <c r="C69" s="9" t="s">
        <v>75</v>
      </c>
      <c r="D69" s="9" t="s">
        <v>76</v>
      </c>
      <c r="E69" s="9" t="s">
        <v>22</v>
      </c>
      <c r="F69" s="9" t="s">
        <v>23</v>
      </c>
      <c r="G69" s="9" t="s">
        <v>30</v>
      </c>
      <c r="H69" s="11">
        <v>1113.0239999999999</v>
      </c>
      <c r="I69" s="10">
        <v>8</v>
      </c>
      <c r="J69" s="15">
        <v>0.2</v>
      </c>
      <c r="K69" s="12">
        <v>111.30240000000001</v>
      </c>
      <c r="L69" s="12">
        <f t="shared" si="6"/>
        <v>1001.7215999999999</v>
      </c>
      <c r="M69" s="12">
        <f t="shared" si="7"/>
        <v>1391.2799999999997</v>
      </c>
      <c r="N69" s="12">
        <f t="shared" si="8"/>
        <v>278.25599999999986</v>
      </c>
    </row>
    <row r="70" spans="1:14" ht="15.6" x14ac:dyDescent="0.3">
      <c r="A70" s="5" t="s">
        <v>19</v>
      </c>
      <c r="B70" s="5" t="s">
        <v>12</v>
      </c>
      <c r="C70" s="5" t="s">
        <v>75</v>
      </c>
      <c r="D70" s="5" t="s">
        <v>76</v>
      </c>
      <c r="E70" s="5" t="s">
        <v>22</v>
      </c>
      <c r="F70" s="5" t="s">
        <v>31</v>
      </c>
      <c r="G70" s="5" t="s">
        <v>32</v>
      </c>
      <c r="H70" s="7">
        <v>167.96799999999999</v>
      </c>
      <c r="I70" s="6">
        <v>4</v>
      </c>
      <c r="J70" s="14">
        <v>0.2</v>
      </c>
      <c r="K70" s="8">
        <v>62.988</v>
      </c>
      <c r="L70" s="8">
        <f t="shared" si="6"/>
        <v>104.97999999999999</v>
      </c>
      <c r="M70" s="8">
        <f t="shared" si="7"/>
        <v>209.95999999999998</v>
      </c>
      <c r="N70" s="8">
        <f t="shared" si="8"/>
        <v>41.99199999999999</v>
      </c>
    </row>
    <row r="71" spans="1:14" ht="15.6" x14ac:dyDescent="0.3">
      <c r="A71" s="9" t="s">
        <v>11</v>
      </c>
      <c r="B71" s="9" t="s">
        <v>12</v>
      </c>
      <c r="C71" s="9" t="s">
        <v>77</v>
      </c>
      <c r="D71" s="9" t="s">
        <v>78</v>
      </c>
      <c r="E71" s="9" t="s">
        <v>15</v>
      </c>
      <c r="F71" s="9" t="s">
        <v>23</v>
      </c>
      <c r="G71" s="9" t="s">
        <v>37</v>
      </c>
      <c r="H71" s="11">
        <v>75.88</v>
      </c>
      <c r="I71" s="10">
        <v>2</v>
      </c>
      <c r="J71" s="15">
        <v>0</v>
      </c>
      <c r="K71" s="12">
        <v>35.663600000000002</v>
      </c>
      <c r="L71" s="12">
        <f t="shared" si="6"/>
        <v>40.216399999999993</v>
      </c>
      <c r="M71" s="12">
        <f t="shared" si="7"/>
        <v>75.88</v>
      </c>
      <c r="N71" s="12">
        <f t="shared" si="8"/>
        <v>0</v>
      </c>
    </row>
    <row r="72" spans="1:14" ht="15.6" x14ac:dyDescent="0.3">
      <c r="A72" s="5" t="s">
        <v>11</v>
      </c>
      <c r="B72" s="5" t="s">
        <v>12</v>
      </c>
      <c r="C72" s="5" t="s">
        <v>70</v>
      </c>
      <c r="D72" s="5" t="s">
        <v>71</v>
      </c>
      <c r="E72" s="5" t="s">
        <v>53</v>
      </c>
      <c r="F72" s="5" t="s">
        <v>23</v>
      </c>
      <c r="G72" s="5" t="s">
        <v>33</v>
      </c>
      <c r="H72" s="7">
        <v>4.6159999999999997</v>
      </c>
      <c r="I72" s="6">
        <v>1</v>
      </c>
      <c r="J72" s="14">
        <v>0.2</v>
      </c>
      <c r="K72" s="8">
        <v>1.7310000000000001</v>
      </c>
      <c r="L72" s="8">
        <f t="shared" si="6"/>
        <v>2.8849999999999998</v>
      </c>
      <c r="M72" s="8">
        <f t="shared" si="7"/>
        <v>5.77</v>
      </c>
      <c r="N72" s="8">
        <f t="shared" si="8"/>
        <v>1.1539999999999999</v>
      </c>
    </row>
    <row r="73" spans="1:14" ht="15.6" x14ac:dyDescent="0.3">
      <c r="A73" s="9" t="s">
        <v>11</v>
      </c>
      <c r="B73" s="9" t="s">
        <v>12</v>
      </c>
      <c r="C73" s="9" t="s">
        <v>79</v>
      </c>
      <c r="D73" s="9" t="s">
        <v>65</v>
      </c>
      <c r="E73" s="9" t="s">
        <v>43</v>
      </c>
      <c r="F73" s="9" t="s">
        <v>23</v>
      </c>
      <c r="G73" s="9" t="s">
        <v>37</v>
      </c>
      <c r="H73" s="11">
        <v>19.05</v>
      </c>
      <c r="I73" s="10">
        <v>3</v>
      </c>
      <c r="J73" s="15">
        <v>0</v>
      </c>
      <c r="K73" s="12">
        <v>8.7629999999999999</v>
      </c>
      <c r="L73" s="12">
        <f t="shared" si="6"/>
        <v>10.287000000000001</v>
      </c>
      <c r="M73" s="12">
        <f t="shared" si="7"/>
        <v>19.05</v>
      </c>
      <c r="N73" s="12">
        <f t="shared" si="8"/>
        <v>0</v>
      </c>
    </row>
    <row r="74" spans="1:14" ht="15.6" x14ac:dyDescent="0.3">
      <c r="A74" s="5" t="s">
        <v>11</v>
      </c>
      <c r="B74" s="5" t="s">
        <v>12</v>
      </c>
      <c r="C74" s="5" t="s">
        <v>80</v>
      </c>
      <c r="D74" s="5" t="s">
        <v>81</v>
      </c>
      <c r="E74" s="5" t="s">
        <v>15</v>
      </c>
      <c r="F74" s="5" t="s">
        <v>16</v>
      </c>
      <c r="G74" s="5" t="s">
        <v>18</v>
      </c>
      <c r="H74" s="7">
        <v>831.93600000000004</v>
      </c>
      <c r="I74" s="6">
        <v>8</v>
      </c>
      <c r="J74" s="14">
        <v>0.2</v>
      </c>
      <c r="K74" s="8">
        <v>-114.3912</v>
      </c>
      <c r="L74" s="8">
        <f t="shared" si="6"/>
        <v>946.32720000000006</v>
      </c>
      <c r="M74" s="8">
        <f t="shared" si="7"/>
        <v>1039.92</v>
      </c>
      <c r="N74" s="8">
        <f t="shared" si="8"/>
        <v>207.98400000000004</v>
      </c>
    </row>
    <row r="75" spans="1:14" ht="15.6" x14ac:dyDescent="0.3">
      <c r="A75" s="9" t="s">
        <v>11</v>
      </c>
      <c r="B75" s="9" t="s">
        <v>12</v>
      </c>
      <c r="C75" s="9" t="s">
        <v>80</v>
      </c>
      <c r="D75" s="9" t="s">
        <v>81</v>
      </c>
      <c r="E75" s="9" t="s">
        <v>15</v>
      </c>
      <c r="F75" s="9" t="s">
        <v>16</v>
      </c>
      <c r="G75" s="9" t="s">
        <v>29</v>
      </c>
      <c r="H75" s="11">
        <v>97.04</v>
      </c>
      <c r="I75" s="10">
        <v>2</v>
      </c>
      <c r="J75" s="15">
        <v>0.2</v>
      </c>
      <c r="K75" s="12">
        <v>1.2130000000000001</v>
      </c>
      <c r="L75" s="12">
        <f t="shared" si="6"/>
        <v>95.827000000000012</v>
      </c>
      <c r="M75" s="12">
        <f t="shared" si="7"/>
        <v>121.3</v>
      </c>
      <c r="N75" s="12">
        <f t="shared" si="8"/>
        <v>24.259999999999991</v>
      </c>
    </row>
    <row r="76" spans="1:14" ht="15.6" x14ac:dyDescent="0.3">
      <c r="A76" s="5" t="s">
        <v>11</v>
      </c>
      <c r="B76" s="5" t="s">
        <v>12</v>
      </c>
      <c r="C76" s="5" t="s">
        <v>80</v>
      </c>
      <c r="D76" s="5" t="s">
        <v>81</v>
      </c>
      <c r="E76" s="5" t="s">
        <v>15</v>
      </c>
      <c r="F76" s="5" t="s">
        <v>23</v>
      </c>
      <c r="G76" s="5" t="s">
        <v>28</v>
      </c>
      <c r="H76" s="7">
        <v>72.784000000000006</v>
      </c>
      <c r="I76" s="6">
        <v>1</v>
      </c>
      <c r="J76" s="14">
        <v>0.2</v>
      </c>
      <c r="K76" s="8">
        <v>-18.196000000000002</v>
      </c>
      <c r="L76" s="8">
        <f t="shared" si="6"/>
        <v>90.98</v>
      </c>
      <c r="M76" s="8">
        <f t="shared" si="7"/>
        <v>90.98</v>
      </c>
      <c r="N76" s="8">
        <f t="shared" si="8"/>
        <v>18.195999999999998</v>
      </c>
    </row>
    <row r="77" spans="1:14" ht="15.6" x14ac:dyDescent="0.3">
      <c r="A77" s="9" t="s">
        <v>19</v>
      </c>
      <c r="B77" s="9" t="s">
        <v>12</v>
      </c>
      <c r="C77" s="9" t="s">
        <v>57</v>
      </c>
      <c r="D77" s="9" t="s">
        <v>42</v>
      </c>
      <c r="E77" s="9" t="s">
        <v>43</v>
      </c>
      <c r="F77" s="9" t="s">
        <v>23</v>
      </c>
      <c r="G77" s="9" t="s">
        <v>33</v>
      </c>
      <c r="H77" s="11">
        <v>1.248</v>
      </c>
      <c r="I77" s="10">
        <v>3</v>
      </c>
      <c r="J77" s="15">
        <v>0.8</v>
      </c>
      <c r="K77" s="12">
        <v>-1.9343999999999999</v>
      </c>
      <c r="L77" s="12">
        <f t="shared" si="6"/>
        <v>3.1823999999999999</v>
      </c>
      <c r="M77" s="12">
        <f t="shared" si="7"/>
        <v>6.2400000000000011</v>
      </c>
      <c r="N77" s="12">
        <f t="shared" si="8"/>
        <v>4.9920000000000009</v>
      </c>
    </row>
    <row r="78" spans="1:14" ht="15.6" x14ac:dyDescent="0.3">
      <c r="A78" s="5" t="s">
        <v>19</v>
      </c>
      <c r="B78" s="5" t="s">
        <v>12</v>
      </c>
      <c r="C78" s="5" t="s">
        <v>57</v>
      </c>
      <c r="D78" s="5" t="s">
        <v>42</v>
      </c>
      <c r="E78" s="5" t="s">
        <v>43</v>
      </c>
      <c r="F78" s="5" t="s">
        <v>16</v>
      </c>
      <c r="G78" s="5" t="s">
        <v>29</v>
      </c>
      <c r="H78" s="7">
        <v>9.7080000000000002</v>
      </c>
      <c r="I78" s="6">
        <v>3</v>
      </c>
      <c r="J78" s="14">
        <v>0.6</v>
      </c>
      <c r="K78" s="8">
        <v>-5.8247999999999998</v>
      </c>
      <c r="L78" s="8">
        <f t="shared" si="6"/>
        <v>15.5328</v>
      </c>
      <c r="M78" s="8">
        <f t="shared" si="7"/>
        <v>24.27</v>
      </c>
      <c r="N78" s="8">
        <f t="shared" si="8"/>
        <v>14.561999999999999</v>
      </c>
    </row>
    <row r="79" spans="1:14" ht="15.6" x14ac:dyDescent="0.3">
      <c r="A79" s="9" t="s">
        <v>19</v>
      </c>
      <c r="B79" s="9" t="s">
        <v>12</v>
      </c>
      <c r="C79" s="9" t="s">
        <v>57</v>
      </c>
      <c r="D79" s="9" t="s">
        <v>42</v>
      </c>
      <c r="E79" s="9" t="s">
        <v>43</v>
      </c>
      <c r="F79" s="9" t="s">
        <v>23</v>
      </c>
      <c r="G79" s="9" t="s">
        <v>28</v>
      </c>
      <c r="H79" s="11">
        <v>27.24</v>
      </c>
      <c r="I79" s="10">
        <v>3</v>
      </c>
      <c r="J79" s="15">
        <v>0.2</v>
      </c>
      <c r="K79" s="12">
        <v>2.7240000000000002</v>
      </c>
      <c r="L79" s="12">
        <f t="shared" si="6"/>
        <v>24.515999999999998</v>
      </c>
      <c r="M79" s="12">
        <f t="shared" si="7"/>
        <v>34.049999999999997</v>
      </c>
      <c r="N79" s="12">
        <f t="shared" si="8"/>
        <v>6.8099999999999987</v>
      </c>
    </row>
    <row r="80" spans="1:14" ht="15.6" x14ac:dyDescent="0.3">
      <c r="A80" s="5" t="s">
        <v>11</v>
      </c>
      <c r="B80" s="5" t="s">
        <v>12</v>
      </c>
      <c r="C80" s="5" t="s">
        <v>57</v>
      </c>
      <c r="D80" s="5" t="s">
        <v>42</v>
      </c>
      <c r="E80" s="5" t="s">
        <v>43</v>
      </c>
      <c r="F80" s="5" t="s">
        <v>16</v>
      </c>
      <c r="G80" s="5" t="s">
        <v>29</v>
      </c>
      <c r="H80" s="7">
        <v>19.3</v>
      </c>
      <c r="I80" s="6">
        <v>5</v>
      </c>
      <c r="J80" s="14">
        <v>0.6</v>
      </c>
      <c r="K80" s="8">
        <v>-14.475</v>
      </c>
      <c r="L80" s="8">
        <f t="shared" si="6"/>
        <v>33.774999999999999</v>
      </c>
      <c r="M80" s="8">
        <f t="shared" si="7"/>
        <v>48.25</v>
      </c>
      <c r="N80" s="8">
        <f t="shared" si="8"/>
        <v>28.95</v>
      </c>
    </row>
    <row r="81" spans="1:14" ht="15.6" x14ac:dyDescent="0.3">
      <c r="A81" s="9" t="s">
        <v>19</v>
      </c>
      <c r="B81" s="9" t="s">
        <v>12</v>
      </c>
      <c r="C81" s="9" t="s">
        <v>82</v>
      </c>
      <c r="D81" s="9" t="s">
        <v>83</v>
      </c>
      <c r="E81" s="9" t="s">
        <v>15</v>
      </c>
      <c r="F81" s="9" t="s">
        <v>23</v>
      </c>
      <c r="G81" s="9" t="s">
        <v>34</v>
      </c>
      <c r="H81" s="11">
        <v>208.16</v>
      </c>
      <c r="I81" s="10">
        <v>1</v>
      </c>
      <c r="J81" s="15">
        <v>0</v>
      </c>
      <c r="K81" s="12">
        <v>56.203200000000002</v>
      </c>
      <c r="L81" s="12">
        <f t="shared" si="6"/>
        <v>151.95679999999999</v>
      </c>
      <c r="M81" s="12">
        <f t="shared" si="7"/>
        <v>208.16</v>
      </c>
      <c r="N81" s="12">
        <f t="shared" si="8"/>
        <v>0</v>
      </c>
    </row>
    <row r="82" spans="1:14" ht="15.6" x14ac:dyDescent="0.3">
      <c r="A82" s="5" t="s">
        <v>19</v>
      </c>
      <c r="B82" s="5" t="s">
        <v>12</v>
      </c>
      <c r="C82" s="5" t="s">
        <v>82</v>
      </c>
      <c r="D82" s="5" t="s">
        <v>83</v>
      </c>
      <c r="E82" s="5" t="s">
        <v>15</v>
      </c>
      <c r="F82" s="5" t="s">
        <v>23</v>
      </c>
      <c r="G82" s="5" t="s">
        <v>33</v>
      </c>
      <c r="H82" s="7">
        <v>16.739999999999998</v>
      </c>
      <c r="I82" s="6">
        <v>3</v>
      </c>
      <c r="J82" s="14">
        <v>0</v>
      </c>
      <c r="K82" s="8">
        <v>8.0351999999999997</v>
      </c>
      <c r="L82" s="8">
        <f t="shared" si="6"/>
        <v>8.7047999999999988</v>
      </c>
      <c r="M82" s="8">
        <f t="shared" si="7"/>
        <v>16.739999999999998</v>
      </c>
      <c r="N82" s="8">
        <f t="shared" si="8"/>
        <v>0</v>
      </c>
    </row>
    <row r="83" spans="1:14" ht="15.6" x14ac:dyDescent="0.3">
      <c r="A83" s="9" t="s">
        <v>11</v>
      </c>
      <c r="B83" s="9" t="s">
        <v>12</v>
      </c>
      <c r="C83" s="9" t="s">
        <v>48</v>
      </c>
      <c r="D83" s="9" t="s">
        <v>21</v>
      </c>
      <c r="E83" s="9" t="s">
        <v>22</v>
      </c>
      <c r="F83" s="9" t="s">
        <v>23</v>
      </c>
      <c r="G83" s="9" t="s">
        <v>30</v>
      </c>
      <c r="H83" s="11">
        <v>14.9</v>
      </c>
      <c r="I83" s="10">
        <v>5</v>
      </c>
      <c r="J83" s="15">
        <v>0</v>
      </c>
      <c r="K83" s="12">
        <v>4.1719999999999997</v>
      </c>
      <c r="L83" s="12">
        <f t="shared" si="6"/>
        <v>10.728000000000002</v>
      </c>
      <c r="M83" s="12">
        <f t="shared" si="7"/>
        <v>14.9</v>
      </c>
      <c r="N83" s="12">
        <f t="shared" si="8"/>
        <v>0</v>
      </c>
    </row>
    <row r="84" spans="1:14" ht="15.6" x14ac:dyDescent="0.3">
      <c r="A84" s="5" t="s">
        <v>11</v>
      </c>
      <c r="B84" s="5" t="s">
        <v>12</v>
      </c>
      <c r="C84" s="5" t="s">
        <v>48</v>
      </c>
      <c r="D84" s="5" t="s">
        <v>21</v>
      </c>
      <c r="E84" s="5" t="s">
        <v>22</v>
      </c>
      <c r="F84" s="5" t="s">
        <v>23</v>
      </c>
      <c r="G84" s="5" t="s">
        <v>28</v>
      </c>
      <c r="H84" s="7">
        <v>21.39</v>
      </c>
      <c r="I84" s="6">
        <v>1</v>
      </c>
      <c r="J84" s="14">
        <v>0</v>
      </c>
      <c r="K84" s="8">
        <v>6.2031000000000001</v>
      </c>
      <c r="L84" s="8">
        <f t="shared" si="6"/>
        <v>15.186900000000001</v>
      </c>
      <c r="M84" s="8">
        <f t="shared" si="7"/>
        <v>21.39</v>
      </c>
      <c r="N84" s="8">
        <f t="shared" si="8"/>
        <v>0</v>
      </c>
    </row>
    <row r="85" spans="1:14" ht="15.6" x14ac:dyDescent="0.3">
      <c r="A85" s="9" t="s">
        <v>19</v>
      </c>
      <c r="B85" s="9" t="s">
        <v>12</v>
      </c>
      <c r="C85" s="9" t="s">
        <v>84</v>
      </c>
      <c r="D85" s="9" t="s">
        <v>36</v>
      </c>
      <c r="E85" s="9" t="s">
        <v>15</v>
      </c>
      <c r="F85" s="9" t="s">
        <v>23</v>
      </c>
      <c r="G85" s="9" t="s">
        <v>56</v>
      </c>
      <c r="H85" s="11">
        <v>200.98400000000001</v>
      </c>
      <c r="I85" s="10">
        <v>7</v>
      </c>
      <c r="J85" s="15">
        <v>0.2</v>
      </c>
      <c r="K85" s="12">
        <v>62.807499999999997</v>
      </c>
      <c r="L85" s="12">
        <f t="shared" si="6"/>
        <v>138.1765</v>
      </c>
      <c r="M85" s="12">
        <f t="shared" si="7"/>
        <v>251.23</v>
      </c>
      <c r="N85" s="12">
        <f t="shared" si="8"/>
        <v>50.245999999999981</v>
      </c>
    </row>
    <row r="86" spans="1:14" ht="15.6" x14ac:dyDescent="0.3">
      <c r="A86" s="5" t="s">
        <v>40</v>
      </c>
      <c r="B86" s="5" t="s">
        <v>12</v>
      </c>
      <c r="C86" s="5" t="s">
        <v>74</v>
      </c>
      <c r="D86" s="5" t="s">
        <v>60</v>
      </c>
      <c r="E86" s="5" t="s">
        <v>43</v>
      </c>
      <c r="F86" s="5" t="s">
        <v>23</v>
      </c>
      <c r="G86" s="5" t="s">
        <v>28</v>
      </c>
      <c r="H86" s="7">
        <v>230.376</v>
      </c>
      <c r="I86" s="6">
        <v>3</v>
      </c>
      <c r="J86" s="14">
        <v>0.2</v>
      </c>
      <c r="K86" s="8">
        <v>-48.954900000000002</v>
      </c>
      <c r="L86" s="8">
        <f t="shared" si="6"/>
        <v>279.33089999999999</v>
      </c>
      <c r="M86" s="8">
        <f t="shared" si="7"/>
        <v>287.96999999999997</v>
      </c>
      <c r="N86" s="8">
        <f t="shared" si="8"/>
        <v>57.593999999999966</v>
      </c>
    </row>
    <row r="87" spans="1:14" ht="15.6" x14ac:dyDescent="0.3">
      <c r="A87" s="9" t="s">
        <v>11</v>
      </c>
      <c r="B87" s="9" t="s">
        <v>12</v>
      </c>
      <c r="C87" s="9" t="s">
        <v>85</v>
      </c>
      <c r="D87" s="9" t="s">
        <v>86</v>
      </c>
      <c r="E87" s="9" t="s">
        <v>15</v>
      </c>
      <c r="F87" s="9" t="s">
        <v>16</v>
      </c>
      <c r="G87" s="9" t="s">
        <v>18</v>
      </c>
      <c r="H87" s="11">
        <v>301.95999999999998</v>
      </c>
      <c r="I87" s="10">
        <v>2</v>
      </c>
      <c r="J87" s="15">
        <v>0</v>
      </c>
      <c r="K87" s="12">
        <v>33.215600000000002</v>
      </c>
      <c r="L87" s="12">
        <f t="shared" si="6"/>
        <v>268.74439999999998</v>
      </c>
      <c r="M87" s="12">
        <f t="shared" si="7"/>
        <v>301.95999999999998</v>
      </c>
      <c r="N87" s="12">
        <f t="shared" si="8"/>
        <v>0</v>
      </c>
    </row>
    <row r="88" spans="1:14" ht="15.6" x14ac:dyDescent="0.3">
      <c r="A88" s="5" t="s">
        <v>11</v>
      </c>
      <c r="B88" s="5" t="s">
        <v>12</v>
      </c>
      <c r="C88" s="5" t="s">
        <v>87</v>
      </c>
      <c r="D88" s="5" t="s">
        <v>63</v>
      </c>
      <c r="E88" s="5" t="s">
        <v>43</v>
      </c>
      <c r="F88" s="5" t="s">
        <v>31</v>
      </c>
      <c r="G88" s="5" t="s">
        <v>55</v>
      </c>
      <c r="H88" s="7">
        <v>19.989999999999998</v>
      </c>
      <c r="I88" s="6">
        <v>1</v>
      </c>
      <c r="J88" s="14">
        <v>0</v>
      </c>
      <c r="K88" s="8">
        <v>6.7965999999999998</v>
      </c>
      <c r="L88" s="8">
        <f t="shared" si="6"/>
        <v>13.193399999999999</v>
      </c>
      <c r="M88" s="8">
        <f t="shared" si="7"/>
        <v>19.989999999999998</v>
      </c>
      <c r="N88" s="8">
        <f t="shared" si="8"/>
        <v>0</v>
      </c>
    </row>
    <row r="89" spans="1:14" ht="15.6" x14ac:dyDescent="0.3">
      <c r="A89" s="9" t="s">
        <v>11</v>
      </c>
      <c r="B89" s="9" t="s">
        <v>12</v>
      </c>
      <c r="C89" s="9" t="s">
        <v>87</v>
      </c>
      <c r="D89" s="9" t="s">
        <v>63</v>
      </c>
      <c r="E89" s="9" t="s">
        <v>43</v>
      </c>
      <c r="F89" s="9" t="s">
        <v>23</v>
      </c>
      <c r="G89" s="9" t="s">
        <v>24</v>
      </c>
      <c r="H89" s="11">
        <v>6.16</v>
      </c>
      <c r="I89" s="10">
        <v>2</v>
      </c>
      <c r="J89" s="15">
        <v>0</v>
      </c>
      <c r="K89" s="12">
        <v>2.9567999999999999</v>
      </c>
      <c r="L89" s="12">
        <f t="shared" si="6"/>
        <v>3.2032000000000003</v>
      </c>
      <c r="M89" s="12">
        <f t="shared" si="7"/>
        <v>6.16</v>
      </c>
      <c r="N89" s="12">
        <f t="shared" si="8"/>
        <v>0</v>
      </c>
    </row>
    <row r="90" spans="1:14" ht="15.6" x14ac:dyDescent="0.3">
      <c r="A90" s="5" t="s">
        <v>40</v>
      </c>
      <c r="B90" s="5" t="s">
        <v>12</v>
      </c>
      <c r="C90" s="5" t="s">
        <v>57</v>
      </c>
      <c r="D90" s="5" t="s">
        <v>42</v>
      </c>
      <c r="E90" s="5" t="s">
        <v>43</v>
      </c>
      <c r="F90" s="5" t="s">
        <v>23</v>
      </c>
      <c r="G90" s="5" t="s">
        <v>28</v>
      </c>
      <c r="H90" s="7">
        <v>158.36799999999999</v>
      </c>
      <c r="I90" s="6">
        <v>7</v>
      </c>
      <c r="J90" s="14">
        <v>0.2</v>
      </c>
      <c r="K90" s="8">
        <v>13.857200000000001</v>
      </c>
      <c r="L90" s="8">
        <f t="shared" si="6"/>
        <v>144.51079999999999</v>
      </c>
      <c r="M90" s="8">
        <f t="shared" si="7"/>
        <v>197.95999999999998</v>
      </c>
      <c r="N90" s="8">
        <f t="shared" si="8"/>
        <v>39.591999999999985</v>
      </c>
    </row>
    <row r="91" spans="1:14" ht="15.6" x14ac:dyDescent="0.3">
      <c r="A91" s="9" t="s">
        <v>19</v>
      </c>
      <c r="B91" s="9" t="s">
        <v>12</v>
      </c>
      <c r="C91" s="9" t="s">
        <v>20</v>
      </c>
      <c r="D91" s="9" t="s">
        <v>21</v>
      </c>
      <c r="E91" s="9" t="s">
        <v>22</v>
      </c>
      <c r="F91" s="9" t="s">
        <v>23</v>
      </c>
      <c r="G91" s="9" t="s">
        <v>30</v>
      </c>
      <c r="H91" s="11">
        <v>20.100000000000001</v>
      </c>
      <c r="I91" s="10">
        <v>3</v>
      </c>
      <c r="J91" s="15">
        <v>0</v>
      </c>
      <c r="K91" s="12">
        <v>6.633</v>
      </c>
      <c r="L91" s="12">
        <f t="shared" si="6"/>
        <v>13.467000000000002</v>
      </c>
      <c r="M91" s="12">
        <f t="shared" si="7"/>
        <v>20.100000000000001</v>
      </c>
      <c r="N91" s="12">
        <f t="shared" si="8"/>
        <v>0</v>
      </c>
    </row>
    <row r="92" spans="1:14" ht="15.6" x14ac:dyDescent="0.3">
      <c r="A92" s="5" t="s">
        <v>19</v>
      </c>
      <c r="B92" s="5" t="s">
        <v>12</v>
      </c>
      <c r="C92" s="5" t="s">
        <v>20</v>
      </c>
      <c r="D92" s="5" t="s">
        <v>21</v>
      </c>
      <c r="E92" s="5" t="s">
        <v>22</v>
      </c>
      <c r="F92" s="5" t="s">
        <v>31</v>
      </c>
      <c r="G92" s="5" t="s">
        <v>32</v>
      </c>
      <c r="H92" s="7">
        <v>73.584000000000003</v>
      </c>
      <c r="I92" s="6">
        <v>2</v>
      </c>
      <c r="J92" s="14">
        <v>0.2</v>
      </c>
      <c r="K92" s="8">
        <v>8.2782</v>
      </c>
      <c r="L92" s="8">
        <f t="shared" si="6"/>
        <v>65.305800000000005</v>
      </c>
      <c r="M92" s="8">
        <f t="shared" si="7"/>
        <v>91.98</v>
      </c>
      <c r="N92" s="8">
        <f t="shared" si="8"/>
        <v>18.396000000000001</v>
      </c>
    </row>
    <row r="93" spans="1:14" ht="15.6" x14ac:dyDescent="0.3">
      <c r="A93" s="9" t="s">
        <v>19</v>
      </c>
      <c r="B93" s="9" t="s">
        <v>12</v>
      </c>
      <c r="C93" s="9" t="s">
        <v>20</v>
      </c>
      <c r="D93" s="9" t="s">
        <v>21</v>
      </c>
      <c r="E93" s="9" t="s">
        <v>22</v>
      </c>
      <c r="F93" s="9" t="s">
        <v>23</v>
      </c>
      <c r="G93" s="9" t="s">
        <v>37</v>
      </c>
      <c r="H93" s="11">
        <v>6.48</v>
      </c>
      <c r="I93" s="10">
        <v>1</v>
      </c>
      <c r="J93" s="15">
        <v>0</v>
      </c>
      <c r="K93" s="12">
        <v>3.1103999999999998</v>
      </c>
      <c r="L93" s="12">
        <f t="shared" si="6"/>
        <v>3.3696000000000006</v>
      </c>
      <c r="M93" s="12">
        <f t="shared" si="7"/>
        <v>6.48</v>
      </c>
      <c r="N93" s="12">
        <f t="shared" si="8"/>
        <v>0</v>
      </c>
    </row>
    <row r="94" spans="1:14" ht="15.6" x14ac:dyDescent="0.3">
      <c r="A94" s="5" t="s">
        <v>11</v>
      </c>
      <c r="B94" s="5" t="s">
        <v>12</v>
      </c>
      <c r="C94" s="5" t="s">
        <v>88</v>
      </c>
      <c r="D94" s="5" t="s">
        <v>63</v>
      </c>
      <c r="E94" s="5" t="s">
        <v>43</v>
      </c>
      <c r="F94" s="5" t="s">
        <v>23</v>
      </c>
      <c r="G94" s="5" t="s">
        <v>37</v>
      </c>
      <c r="H94" s="7">
        <v>12.96</v>
      </c>
      <c r="I94" s="6">
        <v>2</v>
      </c>
      <c r="J94" s="14">
        <v>0</v>
      </c>
      <c r="K94" s="8">
        <v>6.2207999999999997</v>
      </c>
      <c r="L94" s="8">
        <f t="shared" si="6"/>
        <v>6.7392000000000012</v>
      </c>
      <c r="M94" s="8">
        <f t="shared" si="7"/>
        <v>12.96</v>
      </c>
      <c r="N94" s="8">
        <f t="shared" si="8"/>
        <v>0</v>
      </c>
    </row>
    <row r="95" spans="1:14" ht="15.6" x14ac:dyDescent="0.3">
      <c r="A95" s="9" t="s">
        <v>11</v>
      </c>
      <c r="B95" s="9" t="s">
        <v>12</v>
      </c>
      <c r="C95" s="9" t="s">
        <v>88</v>
      </c>
      <c r="D95" s="9" t="s">
        <v>63</v>
      </c>
      <c r="E95" s="9" t="s">
        <v>43</v>
      </c>
      <c r="F95" s="9" t="s">
        <v>16</v>
      </c>
      <c r="G95" s="9" t="s">
        <v>29</v>
      </c>
      <c r="H95" s="11">
        <v>53.34</v>
      </c>
      <c r="I95" s="10">
        <v>3</v>
      </c>
      <c r="J95" s="15">
        <v>0</v>
      </c>
      <c r="K95" s="12">
        <v>16.535399999999999</v>
      </c>
      <c r="L95" s="12">
        <f t="shared" si="6"/>
        <v>36.804600000000008</v>
      </c>
      <c r="M95" s="12">
        <f t="shared" si="7"/>
        <v>53.34</v>
      </c>
      <c r="N95" s="12">
        <f t="shared" si="8"/>
        <v>0</v>
      </c>
    </row>
    <row r="96" spans="1:14" ht="15.6" x14ac:dyDescent="0.3">
      <c r="A96" s="5" t="s">
        <v>11</v>
      </c>
      <c r="B96" s="5" t="s">
        <v>12</v>
      </c>
      <c r="C96" s="5" t="s">
        <v>88</v>
      </c>
      <c r="D96" s="5" t="s">
        <v>63</v>
      </c>
      <c r="E96" s="5" t="s">
        <v>43</v>
      </c>
      <c r="F96" s="5" t="s">
        <v>23</v>
      </c>
      <c r="G96" s="5" t="s">
        <v>33</v>
      </c>
      <c r="H96" s="7">
        <v>32.96</v>
      </c>
      <c r="I96" s="6">
        <v>2</v>
      </c>
      <c r="J96" s="14">
        <v>0</v>
      </c>
      <c r="K96" s="8">
        <v>16.150400000000001</v>
      </c>
      <c r="L96" s="8">
        <f t="shared" si="6"/>
        <v>16.8096</v>
      </c>
      <c r="M96" s="8">
        <f t="shared" si="7"/>
        <v>32.96</v>
      </c>
      <c r="N96" s="8">
        <f t="shared" si="8"/>
        <v>0</v>
      </c>
    </row>
    <row r="97" spans="1:14" ht="15.6" x14ac:dyDescent="0.3">
      <c r="A97" s="9" t="s">
        <v>40</v>
      </c>
      <c r="B97" s="9" t="s">
        <v>12</v>
      </c>
      <c r="C97" s="9" t="s">
        <v>89</v>
      </c>
      <c r="D97" s="9" t="s">
        <v>90</v>
      </c>
      <c r="E97" s="9" t="s">
        <v>22</v>
      </c>
      <c r="F97" s="9" t="s">
        <v>23</v>
      </c>
      <c r="G97" s="9" t="s">
        <v>33</v>
      </c>
      <c r="H97" s="11">
        <v>5.6820000000000004</v>
      </c>
      <c r="I97" s="10">
        <v>1</v>
      </c>
      <c r="J97" s="15">
        <v>0.7</v>
      </c>
      <c r="K97" s="12">
        <v>-3.7879999999999998</v>
      </c>
      <c r="L97" s="12">
        <f t="shared" si="6"/>
        <v>9.4700000000000006</v>
      </c>
      <c r="M97" s="12">
        <f t="shared" si="7"/>
        <v>18.939999999999998</v>
      </c>
      <c r="N97" s="12">
        <f t="shared" si="8"/>
        <v>13.257999999999997</v>
      </c>
    </row>
    <row r="98" spans="1:14" ht="15.6" x14ac:dyDescent="0.3">
      <c r="A98" s="5" t="s">
        <v>40</v>
      </c>
      <c r="B98" s="5" t="s">
        <v>12</v>
      </c>
      <c r="C98" s="5" t="s">
        <v>70</v>
      </c>
      <c r="D98" s="5" t="s">
        <v>71</v>
      </c>
      <c r="E98" s="5" t="s">
        <v>53</v>
      </c>
      <c r="F98" s="5" t="s">
        <v>16</v>
      </c>
      <c r="G98" s="5" t="s">
        <v>29</v>
      </c>
      <c r="H98" s="7">
        <v>96.53</v>
      </c>
      <c r="I98" s="6">
        <v>7</v>
      </c>
      <c r="J98" s="14">
        <v>0</v>
      </c>
      <c r="K98" s="8">
        <v>40.5426</v>
      </c>
      <c r="L98" s="8">
        <f t="shared" ref="L98:L100" si="9">H98-K98</f>
        <v>55.987400000000001</v>
      </c>
      <c r="M98" s="8">
        <f t="shared" si="7"/>
        <v>96.53</v>
      </c>
      <c r="N98" s="8">
        <f t="shared" ref="N98:N100" si="10">M98-H98</f>
        <v>0</v>
      </c>
    </row>
    <row r="99" spans="1:14" ht="15.6" x14ac:dyDescent="0.3">
      <c r="A99" s="9" t="s">
        <v>11</v>
      </c>
      <c r="B99" s="9" t="s">
        <v>12</v>
      </c>
      <c r="C99" s="9" t="s">
        <v>48</v>
      </c>
      <c r="D99" s="9" t="s">
        <v>21</v>
      </c>
      <c r="E99" s="9" t="s">
        <v>22</v>
      </c>
      <c r="F99" s="9" t="s">
        <v>23</v>
      </c>
      <c r="G99" s="9" t="s">
        <v>33</v>
      </c>
      <c r="H99" s="11">
        <v>51.311999999999998</v>
      </c>
      <c r="I99" s="10">
        <v>3</v>
      </c>
      <c r="J99" s="15">
        <v>0.2</v>
      </c>
      <c r="K99" s="12">
        <v>17.959199999999999</v>
      </c>
      <c r="L99" s="12">
        <f t="shared" si="9"/>
        <v>33.352800000000002</v>
      </c>
      <c r="M99" s="12">
        <f t="shared" si="7"/>
        <v>64.139999999999986</v>
      </c>
      <c r="N99" s="12">
        <f t="shared" si="10"/>
        <v>12.827999999999989</v>
      </c>
    </row>
    <row r="100" spans="1:14" ht="15.6" x14ac:dyDescent="0.3">
      <c r="A100" s="5" t="s">
        <v>19</v>
      </c>
      <c r="B100" s="5" t="s">
        <v>12</v>
      </c>
      <c r="C100" s="5" t="s">
        <v>91</v>
      </c>
      <c r="D100" s="5" t="s">
        <v>63</v>
      </c>
      <c r="E100" s="5" t="s">
        <v>43</v>
      </c>
      <c r="F100" s="5" t="s">
        <v>23</v>
      </c>
      <c r="G100" s="5" t="s">
        <v>34</v>
      </c>
      <c r="H100" s="7">
        <v>77.88</v>
      </c>
      <c r="I100" s="6">
        <v>6</v>
      </c>
      <c r="J100" s="14">
        <v>0</v>
      </c>
      <c r="K100" s="8">
        <v>22.5852</v>
      </c>
      <c r="L100" s="8">
        <f t="shared" si="9"/>
        <v>55.294799999999995</v>
      </c>
      <c r="M100" s="8">
        <f t="shared" si="7"/>
        <v>77.88</v>
      </c>
      <c r="N100" s="8">
        <f t="shared" si="10"/>
        <v>0</v>
      </c>
    </row>
  </sheetData>
  <autoFilter ref="A1:N100" xr:uid="{55E1267E-5DE7-4867-9F95-81EA8C3B8E5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2026-05-22T09:28:36Z</dcterms:created>
  <dcterms:modified xsi:type="dcterms:W3CDTF">2026-07-14T12:47:30Z</dcterms:modified>
</cp:coreProperties>
</file>